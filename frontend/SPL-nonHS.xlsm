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1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D19" i="17" l="1"/>
  <c r="E6" i="17"/>
  <c r="E7" i="17"/>
  <c r="F7" i="17"/>
  <c r="F6" i="17"/>
  <c r="E5" i="17"/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M10" i="17"/>
  <c r="L10" i="17"/>
  <c r="K10" i="17"/>
  <c r="J10" i="17"/>
  <c r="I10" i="17"/>
  <c r="E12" i="20"/>
  <c r="E8" i="20"/>
  <c r="D8" i="20"/>
  <c r="E7" i="20"/>
  <c r="D7" i="20"/>
  <c r="E6" i="20"/>
  <c r="D6" i="20"/>
  <c r="F21" i="17"/>
  <c r="E21" i="17"/>
  <c r="D21" i="17"/>
  <c r="F20" i="17"/>
  <c r="E20" i="17"/>
  <c r="D20" i="17"/>
  <c r="E19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D7" i="17"/>
  <c r="D6" i="17"/>
  <c r="F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49" i="17" l="1"/>
  <c r="O46" i="17" s="1"/>
  <c r="L49" i="17"/>
  <c r="M47" i="17" s="1"/>
  <c r="J49" i="17"/>
  <c r="K48" i="17" s="1"/>
  <c r="N5" i="17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<sst xmlns="http://schemas.openxmlformats.org/spreadsheetml/2006/main" count="90" uniqueCount="48">
  <si>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</si>
  <si>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</si>
  <si>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</si>
  <si>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</si>
  <si>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</si>
  <si>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</si>
  <si>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</si>
  <si>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</si>
  <si>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</si>
  <si>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</si>
  <si>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</si>
  <si>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</si>
  <si>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</si>
  <si>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</si>
  <si>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</si>
  <si>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</si>
  <si>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</si>
  <si>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</si>
  <si>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</si>
  <si>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</si>
  <si>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</si>
  <si>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</si>
  <si>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</si>
  <si>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</si>
  <si>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</si>
  <si>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</si>
  <si>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</si>
  <si>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</si>
  <si>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</si>
  <si>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</si>
  <si>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</si>
  <si>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</si>
  <si>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</si>
  <si>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</si>
  <si>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</si>
  <si>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</si>
  <si>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</si>
  <si>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 xml:space="preserve">% of all 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</si>
  <si>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</si>
  <si>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</si>
  <si>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</si>
  <si>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</si>
  <si>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</si>
  <si>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</si>
  <si>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</si>
  <si>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SCHOOL_ID</t>
  </si>
  <si>
    <t>length</t>
  </si>
  <si>
    <t>Meeting Expectations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</si>
</sst>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1465</xdr:colOff>
          <xdr:row>5</xdr:row>
          <xdr:rowOff>2931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2598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7"/>
  <sheetViews>
    <sheetView topLeftCell="B1" zoomScale="130" zoomScaleNormal="130" workbookViewId="0">
      <selection activeCell="D7" sqref="D7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3:5" ht="23.45" customHeight="1" thickBot="1" x14ac:dyDescent="0.3"/>
    <row r="4" spans="3:5" ht="18" customHeight="1" thickBot="1" x14ac:dyDescent="0.3">
      <c r="D4" s="30" t="s">
        <v>25</v>
      </c>
      <c r="E4" s="30" t="s">
        <v>26</v>
      </c>
    </row>
    <row r="5" spans="3:5" ht="21" customHeight="1" thickBot="1" x14ac:dyDescent="0.3">
      <c r="C5" s="30" t="s">
        <v>0</v>
      </c>
      <c r="D5" s="25">
        <v>55</v>
      </c>
      <c r="E5" s="27">
        <v>70</v>
      </c>
    </row>
    <row r="6" spans="3:5" ht="21" customHeight="1" thickBot="1" x14ac:dyDescent="0.3">
      <c r="C6" s="29" t="s">
        <v>1</v>
      </c>
      <c r="D6" s="25">
        <v>45</v>
      </c>
      <c r="E6" s="27">
        <v>60</v>
      </c>
    </row>
    <row r="7" spans="3:5" ht="18.600000000000001" customHeight="1" thickBot="1" x14ac:dyDescent="0.3">
      <c r="C7" s="29" t="s">
        <v>2</v>
      </c>
      <c r="D7" s="25">
        <v>81</v>
      </c>
      <c r="E7" s="27">
        <v>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tabSelected="1" topLeftCell="B1" zoomScale="110" zoomScaleNormal="110" workbookViewId="0">
      <selection activeCell="Z19" sqref="Z19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27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3</v>
      </c>
      <c r="E13" s="12">
        <v>3</v>
      </c>
      <c r="F13" s="12">
        <v>4</v>
      </c>
      <c r="AA13">
        <f t="shared" si="2"/>
        <v>3</v>
      </c>
      <c r="AB13">
        <f t="shared" si="0"/>
        <v>3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3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2</v>
      </c>
      <c r="Y19" t="s">
        <v>45</v>
      </c>
      <c r="Z19" t="s">
        <v>46</v>
      </c>
      <c r="AA19">
        <v>0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3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opLeftCell="H1" zoomScaleNormal="100" workbookViewId="0">
      <selection activeCell="H4" sqref="H4:N10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37</v>
      </c>
      <c r="AF4" s="14" t="s">
        <v>33</v>
      </c>
    </row>
    <row r="5" spans="2:37" ht="15.75" thickBot="1" x14ac:dyDescent="0.3">
      <c r="B5" s="4"/>
      <c r="C5" s="5" t="s">
        <v>11</v>
      </c>
      <c r="D5" s="20">
        <f>AG5</f>
        <v>22</v>
      </c>
      <c r="E5" s="19">
        <f t="shared" ref="E5:E13" si="0">AH5</f>
        <v>3</v>
      </c>
      <c r="F5" s="19">
        <f t="shared" ref="F5:F13" si="1">AI5</f>
        <v>0</v>
      </c>
      <c r="H5" s="15" t="s">
        <v>7</v>
      </c>
      <c r="I5" s="25">
        <f t="shared" ref="I5:K9" si="2">AG17</f>
        <v>22</v>
      </c>
      <c r="J5" s="25">
        <f t="shared" si="2"/>
        <v>7</v>
      </c>
      <c r="K5" s="25">
        <f t="shared" si="2"/>
        <v>0</v>
      </c>
      <c r="L5" s="25">
        <f t="shared" ref="L5:M5" si="3">AJ17</f>
        <v>0</v>
      </c>
      <c r="M5" s="25">
        <f t="shared" si="3"/>
        <v>29</v>
      </c>
      <c r="N5" s="33">
        <f>M5/$M$10</f>
        <v>0.10139860139860139</v>
      </c>
      <c r="AG5">
        <v>22</v>
      </c>
      <c r="AH5">
        <v>3</v>
      </c>
      <c r="AI5">
        <v>0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4">AG6</f>
        <v>6</v>
      </c>
      <c r="E6" s="18">
        <f t="shared" si="0"/>
        <v>5</v>
      </c>
      <c r="F6" s="18">
        <f t="shared" si="1"/>
        <v>1</v>
      </c>
      <c r="H6" s="15" t="s">
        <v>6</v>
      </c>
      <c r="I6" s="26">
        <f t="shared" si="2"/>
        <v>77</v>
      </c>
      <c r="J6" s="26">
        <f t="shared" si="2"/>
        <v>6</v>
      </c>
      <c r="K6" s="26">
        <f t="shared" si="2"/>
        <v>0</v>
      </c>
      <c r="L6" s="26">
        <f t="shared" ref="L6:M6" si="5">AJ18</f>
        <v>0</v>
      </c>
      <c r="M6" s="26">
        <f t="shared" si="5"/>
        <v>83</v>
      </c>
      <c r="N6" s="34">
        <f>M6/$M$10</f>
        <v>0.29020979020979021</v>
      </c>
      <c r="AG6">
        <v>6</v>
      </c>
      <c r="AH6">
        <v>5</v>
      </c>
      <c r="AI6">
        <v>1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4"/>
        <v>0</v>
      </c>
      <c r="E7" s="18">
        <f t="shared" si="0"/>
        <v>0</v>
      </c>
      <c r="F7" s="18">
        <f t="shared" si="1"/>
        <v>0</v>
      </c>
      <c r="H7" s="15" t="s">
        <v>5</v>
      </c>
      <c r="I7" s="27">
        <f t="shared" si="2"/>
        <v>118</v>
      </c>
      <c r="J7" s="27">
        <f t="shared" si="2"/>
        <v>7</v>
      </c>
      <c r="K7" s="27">
        <f t="shared" si="2"/>
        <v>0</v>
      </c>
      <c r="L7" s="27">
        <f t="shared" ref="L7:M7" si="6">AJ19</f>
        <v>0</v>
      </c>
      <c r="M7" s="27">
        <f t="shared" si="6"/>
        <v>125</v>
      </c>
      <c r="N7" s="35">
        <f>M7/$M$10</f>
        <v>0.43706293706293708</v>
      </c>
      <c r="AG7">
        <v>0</v>
      </c>
      <c r="AH7">
        <v>0</v>
      </c>
      <c r="AI7">
        <v>0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4"/>
        <v>23</v>
      </c>
      <c r="E8" s="18">
        <f t="shared" si="0"/>
        <v>10</v>
      </c>
      <c r="F8" s="18">
        <f t="shared" si="1"/>
        <v>1</v>
      </c>
      <c r="H8" s="15" t="s">
        <v>4</v>
      </c>
      <c r="I8" s="28">
        <f t="shared" si="2"/>
        <v>23</v>
      </c>
      <c r="J8" s="28">
        <f t="shared" si="2"/>
        <v>5</v>
      </c>
      <c r="K8" s="28">
        <f t="shared" si="2"/>
        <v>0</v>
      </c>
      <c r="L8" s="28">
        <f t="shared" ref="L8:M8" si="7">AJ20</f>
        <v>0</v>
      </c>
      <c r="M8" s="28">
        <f t="shared" si="7"/>
        <v>28</v>
      </c>
      <c r="N8" s="36">
        <f>M8/$M$10</f>
        <v>9.7902097902097904E-2</v>
      </c>
      <c r="AG8">
        <v>23</v>
      </c>
      <c r="AH8">
        <v>10</v>
      </c>
      <c r="AI8">
        <v>1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4"/>
        <v>32</v>
      </c>
      <c r="E9" s="18">
        <f t="shared" si="0"/>
        <v>44</v>
      </c>
      <c r="F9" s="18">
        <f t="shared" si="1"/>
        <v>3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7</v>
      </c>
      <c r="L9" s="31">
        <f t="shared" ref="L9:M9" si="8">AJ21</f>
        <v>14</v>
      </c>
      <c r="M9" s="31">
        <f t="shared" si="8"/>
        <v>21</v>
      </c>
      <c r="N9" s="37">
        <f>M9/$M$10</f>
        <v>7.3426573426573424E-2</v>
      </c>
      <c r="AG9">
        <v>32</v>
      </c>
      <c r="AH9">
        <v>44</v>
      </c>
      <c r="AI9">
        <v>3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4"/>
        <v>4</v>
      </c>
      <c r="E10" s="18">
        <f t="shared" si="0"/>
        <v>2</v>
      </c>
      <c r="F10" s="17">
        <f t="shared" si="1"/>
        <v>0</v>
      </c>
      <c r="I10">
        <f>AG22</f>
        <v>240</v>
      </c>
      <c r="J10">
        <f t="shared" ref="J10" si="9">AH22</f>
        <v>25</v>
      </c>
      <c r="K10">
        <f t="shared" ref="K10" si="10">AI22</f>
        <v>7</v>
      </c>
      <c r="L10">
        <f t="shared" ref="L10" si="11">AJ22</f>
        <v>14</v>
      </c>
      <c r="M10">
        <f t="shared" ref="M10" si="12">AK22</f>
        <v>286</v>
      </c>
      <c r="AG10">
        <v>4</v>
      </c>
      <c r="AH10">
        <v>2</v>
      </c>
      <c r="AI10">
        <v>0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4"/>
        <v>0</v>
      </c>
      <c r="E11" s="18">
        <f t="shared" si="0"/>
        <v>5</v>
      </c>
      <c r="F11" s="18">
        <f t="shared" si="1"/>
        <v>1</v>
      </c>
      <c r="AG11">
        <v>0</v>
      </c>
      <c r="AH11">
        <v>5</v>
      </c>
      <c r="AI11">
        <v>1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4"/>
        <v>9</v>
      </c>
      <c r="E12" s="18">
        <f t="shared" si="0"/>
        <v>26</v>
      </c>
      <c r="F12" s="17">
        <f t="shared" si="1"/>
        <v>10</v>
      </c>
      <c r="AG12">
        <v>9</v>
      </c>
      <c r="AH12">
        <v>26</v>
      </c>
      <c r="AI12">
        <v>10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8">
        <f t="shared" si="4"/>
        <v>3</v>
      </c>
      <c r="E13" s="18">
        <f t="shared" si="0"/>
        <v>17</v>
      </c>
      <c r="F13" s="17">
        <f t="shared" si="1"/>
        <v>13</v>
      </c>
      <c r="AG13">
        <v>3</v>
      </c>
      <c r="AH13">
        <v>17</v>
      </c>
      <c r="AI13">
        <v>13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7</v>
      </c>
      <c r="AH14">
        <v>2</v>
      </c>
      <c r="AI14">
        <v>0</v>
      </c>
      <c r="AJ14" t="e">
        <v>#N/A</v>
      </c>
      <c r="AK14" t="e">
        <v>#N/A</v>
      </c>
    </row>
    <row r="15" spans="2:37" x14ac:dyDescent="0.25">
      <c r="AG15">
        <v>3</v>
      </c>
      <c r="AH15">
        <v>1</v>
      </c>
      <c r="AI15">
        <v>3</v>
      </c>
      <c r="AJ15" t="e">
        <v>#N/A</v>
      </c>
      <c r="AK15" t="e">
        <v>#N/A</v>
      </c>
    </row>
    <row r="16" spans="2:37" x14ac:dyDescent="0.25">
      <c r="AG16">
        <v>1</v>
      </c>
      <c r="AH16">
        <v>3</v>
      </c>
      <c r="AI16">
        <v>5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22</v>
      </c>
      <c r="AH17">
        <v>7</v>
      </c>
      <c r="AI17">
        <v>0</v>
      </c>
      <c r="AJ17">
        <v>0</v>
      </c>
      <c r="AK17">
        <v>29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77</v>
      </c>
      <c r="AH18">
        <v>6</v>
      </c>
      <c r="AI18">
        <v>0</v>
      </c>
      <c r="AJ18">
        <v>0</v>
      </c>
      <c r="AK18">
        <v>83</v>
      </c>
    </row>
    <row r="19" spans="3:37" ht="15.75" thickBot="1" x14ac:dyDescent="0.3">
      <c r="C19" s="6" t="s">
        <v>11</v>
      </c>
      <c r="D19" s="21">
        <f>AG14</f>
        <v>7</v>
      </c>
      <c r="E19" s="22">
        <f t="shared" ref="E19:F19" si="13">AH14</f>
        <v>2</v>
      </c>
      <c r="F19" s="22">
        <f t="shared" si="13"/>
        <v>0</v>
      </c>
      <c r="AG19">
        <v>118</v>
      </c>
      <c r="AH19">
        <v>7</v>
      </c>
      <c r="AI19">
        <v>0</v>
      </c>
      <c r="AJ19">
        <v>0</v>
      </c>
      <c r="AK19">
        <v>125</v>
      </c>
    </row>
    <row r="20" spans="3:37" ht="15.75" thickBot="1" x14ac:dyDescent="0.3">
      <c r="C20" s="9" t="s">
        <v>13</v>
      </c>
      <c r="D20" s="22">
        <f t="shared" ref="D20:F20" si="14">AG15</f>
        <v>3</v>
      </c>
      <c r="E20" s="23">
        <f t="shared" si="14"/>
        <v>1</v>
      </c>
      <c r="F20" s="23">
        <f t="shared" si="14"/>
        <v>3</v>
      </c>
      <c r="AG20">
        <v>23</v>
      </c>
      <c r="AH20">
        <v>5</v>
      </c>
      <c r="AI20">
        <v>0</v>
      </c>
      <c r="AJ20">
        <v>0</v>
      </c>
      <c r="AK20">
        <v>28</v>
      </c>
    </row>
    <row r="21" spans="3:37" ht="15.75" thickBot="1" x14ac:dyDescent="0.3">
      <c r="C21" s="12" t="s">
        <v>14</v>
      </c>
      <c r="D21" s="22">
        <f t="shared" ref="D21:F21" si="15">AG16</f>
        <v>1</v>
      </c>
      <c r="E21" s="23">
        <f t="shared" si="15"/>
        <v>3</v>
      </c>
      <c r="F21" s="24">
        <f t="shared" si="15"/>
        <v>5</v>
      </c>
      <c r="AG21">
        <v>0</v>
      </c>
      <c r="AH21">
        <v>0</v>
      </c>
      <c r="AI21">
        <v>7</v>
      </c>
      <c r="AJ21">
        <v>14</v>
      </c>
      <c r="AK21">
        <v>21</v>
      </c>
    </row>
    <row r="22" spans="3:37" x14ac:dyDescent="0.25">
      <c r="AG22">
        <v>240</v>
      </c>
      <c r="AH22">
        <v>25</v>
      </c>
      <c r="AI22">
        <v>7</v>
      </c>
      <c r="AJ22">
        <v>14</v>
      </c>
      <c r="AK22">
        <v>286</v>
      </c>
    </row>
    <row r="23" spans="3:37" x14ac:dyDescent="0.25">
      <c r="AG23">
        <v>16</v>
      </c>
      <c r="AH23">
        <v>9</v>
      </c>
      <c r="AI23">
        <v>4</v>
      </c>
      <c r="AJ23" t="e">
        <v>#N/A</v>
      </c>
      <c r="AK23" t="e">
        <v>#N/A</v>
      </c>
    </row>
    <row r="24" spans="3:37" x14ac:dyDescent="0.25">
      <c r="AG24">
        <v>48</v>
      </c>
      <c r="AH24">
        <v>7</v>
      </c>
      <c r="AI24">
        <v>21</v>
      </c>
      <c r="AJ24" t="e">
        <v>#N/A</v>
      </c>
      <c r="AK24" t="e">
        <v>#N/A</v>
      </c>
    </row>
    <row r="25" spans="3:37" x14ac:dyDescent="0.25">
      <c r="AG25">
        <v>75</v>
      </c>
      <c r="AH25">
        <v>10</v>
      </c>
      <c r="AI25">
        <v>32</v>
      </c>
      <c r="AJ25" t="e">
        <v>#N/A</v>
      </c>
      <c r="AK25" t="e">
        <v>#N/A</v>
      </c>
    </row>
    <row r="26" spans="3:37" x14ac:dyDescent="0.25">
      <c r="AG26">
        <v>21</v>
      </c>
      <c r="AH26">
        <v>1</v>
      </c>
      <c r="AI26">
        <v>5</v>
      </c>
      <c r="AJ26" t="e">
        <v>#N/A</v>
      </c>
      <c r="AK26" t="e">
        <v>#N/A</v>
      </c>
    </row>
    <row r="27" spans="3:37" x14ac:dyDescent="0.25">
      <c r="AG27">
        <v>17</v>
      </c>
      <c r="AH27">
        <v>0</v>
      </c>
      <c r="AI27">
        <v>4</v>
      </c>
      <c r="AJ27" t="e">
        <v>#N/A</v>
      </c>
      <c r="AK27" t="e">
        <v>#N/A</v>
      </c>
    </row>
    <row r="42" spans="9:15" ht="15.75" thickBot="1" x14ac:dyDescent="0.3"/>
    <row r="43" spans="9:15" ht="15.75" thickBot="1" x14ac:dyDescent="0.3">
      <c r="I43" s="14"/>
      <c r="J43" s="39" t="s">
        <v>38</v>
      </c>
      <c r="K43" s="39" t="s">
        <v>40</v>
      </c>
      <c r="L43" s="39" t="s">
        <v>39</v>
      </c>
      <c r="M43" s="39" t="s">
        <v>41</v>
      </c>
      <c r="N43" s="39" t="s">
        <v>43</v>
      </c>
      <c r="O43" s="39" t="s">
        <v>42</v>
      </c>
    </row>
    <row r="44" spans="9:15" ht="30.75" thickBot="1" x14ac:dyDescent="0.3">
      <c r="I44" s="15" t="s">
        <v>7</v>
      </c>
      <c r="J44" s="25">
        <f>AG23</f>
        <v>16</v>
      </c>
      <c r="K44" s="33">
        <f>J44/$J$49</f>
        <v>9.03954802259887E-2</v>
      </c>
      <c r="L44" s="25">
        <f>AH23</f>
        <v>9</v>
      </c>
      <c r="M44" s="33">
        <f>L44/$L$49</f>
        <v>0.33333333333333331</v>
      </c>
      <c r="N44" s="25">
        <f>AI23</f>
        <v>4</v>
      </c>
      <c r="O44" s="33">
        <f>N44/$N$49</f>
        <v>6.0606060606060608E-2</v>
      </c>
    </row>
    <row r="45" spans="9:15" ht="30.75" thickBot="1" x14ac:dyDescent="0.3">
      <c r="I45" s="15" t="s">
        <v>6</v>
      </c>
      <c r="J45" s="26">
        <f>AG24</f>
        <v>48</v>
      </c>
      <c r="K45" s="34">
        <f>J45/$J$49</f>
        <v>0.2711864406779661</v>
      </c>
      <c r="L45" s="26">
        <f>AH24</f>
        <v>7</v>
      </c>
      <c r="M45" s="34">
        <f>L45/$L$49</f>
        <v>0.25925925925925924</v>
      </c>
      <c r="N45" s="26">
        <f>AI24</f>
        <v>21</v>
      </c>
      <c r="O45" s="34">
        <f>N45/$N$49</f>
        <v>0.31818181818181818</v>
      </c>
    </row>
    <row r="46" spans="9:15" ht="15.75" thickBot="1" x14ac:dyDescent="0.3">
      <c r="I46" s="15" t="s">
        <v>5</v>
      </c>
      <c r="J46" s="27">
        <f>AG25</f>
        <v>75</v>
      </c>
      <c r="K46" s="35">
        <f>J46/$J$49</f>
        <v>0.42372881355932202</v>
      </c>
      <c r="L46" s="27">
        <f>AH25</f>
        <v>10</v>
      </c>
      <c r="M46" s="35">
        <f>L46/$L$49</f>
        <v>0.37037037037037035</v>
      </c>
      <c r="N46" s="27">
        <f>AI25</f>
        <v>32</v>
      </c>
      <c r="O46" s="35">
        <f>N46/$N$49</f>
        <v>0.48484848484848486</v>
      </c>
    </row>
    <row r="47" spans="9:15" ht="15.75" thickBot="1" x14ac:dyDescent="0.3">
      <c r="I47" s="15" t="s">
        <v>4</v>
      </c>
      <c r="J47" s="28">
        <f>AG26</f>
        <v>21</v>
      </c>
      <c r="K47" s="36">
        <f>J47/$J$49</f>
        <v>0.11864406779661017</v>
      </c>
      <c r="L47" s="28">
        <f>AH26</f>
        <v>1</v>
      </c>
      <c r="M47" s="36">
        <f>L47/$L$49</f>
        <v>3.7037037037037035E-2</v>
      </c>
      <c r="N47" s="28">
        <f>AI26</f>
        <v>5</v>
      </c>
      <c r="O47" s="36">
        <f>N47/$N$49</f>
        <v>7.575757575757576E-2</v>
      </c>
    </row>
    <row r="48" spans="9:15" ht="30.75" thickBot="1" x14ac:dyDescent="0.3">
      <c r="I48" s="15" t="s">
        <v>3</v>
      </c>
      <c r="J48" s="31">
        <f>AG27</f>
        <v>17</v>
      </c>
      <c r="K48" s="37">
        <f>J48/$J$49</f>
        <v>9.6045197740112997E-2</v>
      </c>
      <c r="L48" s="31">
        <f>AH27</f>
        <v>0</v>
      </c>
      <c r="M48" s="37">
        <f>L48/$L$49</f>
        <v>0</v>
      </c>
      <c r="N48" s="31">
        <f>AI27</f>
        <v>4</v>
      </c>
      <c r="O48" s="37">
        <f>N48/$N$49</f>
        <v>6.0606060606060608E-2</v>
      </c>
    </row>
    <row r="49" spans="9:14" x14ac:dyDescent="0.25">
      <c r="J49">
        <f>SUM(J44:J48)</f>
        <v>177</v>
      </c>
      <c r="L49">
        <f>SUM(L44:L48)</f>
        <v>27</v>
      </c>
      <c r="N49">
        <f>SUM(N44:N48)</f>
        <v>66</v>
      </c>
    </row>
    <row r="51" spans="9:14" x14ac:dyDescent="0.25">
      <c r="I51" s="40"/>
      <c r="J51" t="s">
        <v>44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5"/>
  <sheetViews>
    <sheetView topLeftCell="A3" zoomScale="130" zoomScaleNormal="130" workbookViewId="0">
      <selection activeCell="G7" sqref="G7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34</v>
      </c>
    </row>
    <row r="4" spans="3:29" ht="15.75" thickBot="1" x14ac:dyDescent="0.3">
      <c r="Y4" t="s">
        <v>35</v>
      </c>
    </row>
    <row r="5" spans="3:29" ht="15.75" thickBot="1" x14ac:dyDescent="0.3">
      <c r="D5" s="30" t="s">
        <v>29</v>
      </c>
      <c r="E5" s="30" t="s">
        <v>30</v>
      </c>
    </row>
    <row r="6" spans="3:29" ht="15.75" thickBot="1" x14ac:dyDescent="0.3">
      <c r="C6" s="30" t="s">
        <v>28</v>
      </c>
      <c r="D6" s="38">
        <f t="shared" ref="D6:D8" si="0">AA6</f>
        <v>56</v>
      </c>
      <c r="E6" s="38" t="str">
        <f t="shared" ref="E6:E8" si="1">AB6</f>
        <v>Meeting Targets</v>
      </c>
      <c r="AA6">
        <v>56</v>
      </c>
      <c r="AB6" t="s">
        <v>36</v>
      </c>
      <c r="AC6">
        <v>2</v>
      </c>
    </row>
    <row r="7" spans="3:29" ht="15.75" thickBot="1" x14ac:dyDescent="0.3">
      <c r="C7" s="30" t="s">
        <v>1</v>
      </c>
      <c r="D7" s="38">
        <f t="shared" si="0"/>
        <v>50</v>
      </c>
      <c r="E7" s="38" t="str">
        <f t="shared" si="1"/>
        <v>Meeting Targets</v>
      </c>
      <c r="AA7">
        <v>50</v>
      </c>
      <c r="AB7" t="s">
        <v>36</v>
      </c>
      <c r="AC7">
        <v>2</v>
      </c>
    </row>
    <row r="8" spans="3:29" ht="15.75" thickBot="1" x14ac:dyDescent="0.3">
      <c r="C8" s="30" t="s">
        <v>2</v>
      </c>
      <c r="D8" s="38">
        <f t="shared" si="0"/>
        <v>83</v>
      </c>
      <c r="E8" s="38" t="str">
        <f t="shared" si="1"/>
        <v>Meeting Targets</v>
      </c>
      <c r="AA8">
        <v>83</v>
      </c>
      <c r="AB8" t="s">
        <v>36</v>
      </c>
      <c r="AC8">
        <v>2</v>
      </c>
    </row>
    <row r="9" spans="3:29" x14ac:dyDescent="0.25">
      <c r="AA9" t="e">
        <v>#N/A</v>
      </c>
      <c r="AB9" t="s">
        <v>47</v>
      </c>
      <c r="AC9">
        <v>3</v>
      </c>
    </row>
    <row r="11" spans="3:29" ht="15.75" thickBot="1" x14ac:dyDescent="0.3"/>
    <row r="12" spans="3:29" ht="15.75" thickBot="1" x14ac:dyDescent="0.3">
      <c r="D12" s="30" t="s">
        <v>31</v>
      </c>
      <c r="E12" s="32" t="str">
        <f>AB9</f>
        <v>Meeting Expectations</v>
      </c>
    </row>
    <row r="15" spans="3:29" x14ac:dyDescent="0.25">
      <c r="C15" t="s">
        <v>32</v>
      </c>
    </row>
  </sheetData>
  <conditionalFormatting sqref="E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expression" dxfId="3" priority="1">
      <formula>AC9=4</formula>
    </cfRule>
    <cfRule type="expression" dxfId="2" priority="2">
      <formula>AC9=3</formula>
    </cfRule>
    <cfRule type="expression" dxfId="1" priority="3">
      <formula>AC9=2</formula>
    </cfRule>
    <cfRule type="expression" dxfId="0" priority="4">
      <formula>AC9=1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2014-09-23T22:49:56Z</dcterms:modified>
</cp:coreProperties>
</file>
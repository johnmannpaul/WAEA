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1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D19" i="17" l="1"/>
  <c r="E6" i="17"/>
  <c r="E7" i="17"/>
  <c r="F7" i="17"/>
  <c r="F6" i="17"/>
  <c r="E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D7" i="17"/>
  <c r="D6" i="17"/>
  <c r="F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5" i="17" l="1"/>
  <c r="N49" i="17"/>
  <c r="O46" i="17" s="1"/>
  <c r="L49" i="17"/>
  <c r="M47" i="17" s="1"/>
  <c r="J49" i="17"/>
  <c r="K48" i="17" s="1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<sst xmlns="http://schemas.openxmlformats.org/spreadsheetml/2006/main" count="90" uniqueCount="48">
  <si>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</si>
  <si>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</si>
  <si>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</si>
  <si>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</si>
  <si>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</si>
  <si>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</si>
  <si>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</si>
  <si>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</si>
  <si>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</si>
  <si>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</si>
  <si>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</si>
  <si>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</si>
  <si>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</si>
  <si>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</si>
  <si>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</si>
  <si>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</si>
  <si>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</si>
  <si>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</si>
  <si>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</si>
  <si>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</si>
  <si>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</si>
  <si>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</si>
  <si>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</si>
  <si>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</si>
  <si>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</si>
  <si>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</si>
  <si>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</si>
  <si>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</si>
  <si>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</si>
  <si>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</si>
  <si>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</si>
  <si>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</si>
  <si>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</si>
  <si>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</si>
  <si>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</si>
  <si>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</si>
  <si>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</si>
  <si>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</si>
  <si>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</si>
  <si>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</si>
  <si>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</si>
  <si>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</si>
  <si>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</si>
  <si>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</si>
  <si>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</si>
  <si>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</si>
  <si>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</si>
  <si>
    <t>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</si>
</sst>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2931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6</xdr:col>
          <xdr:colOff>1238250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D7" sqref="D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53</v>
      </c>
      <c r="E5" s="27">
        <v>70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80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abSelected="1" topLeftCell="A3" zoomScale="110" zoomScaleNormal="110" workbookViewId="0">
      <selection activeCell="E8" sqref="E8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2</v>
      </c>
      <c r="F8" s="6">
        <v>3</v>
      </c>
      <c r="AA8">
        <f t="shared" si="2"/>
        <v>2</v>
      </c>
      <c r="AB8">
        <f t="shared" si="0"/>
        <v>2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4</v>
      </c>
      <c r="AA9">
        <f t="shared" si="2"/>
        <v>2</v>
      </c>
      <c r="AB9">
        <f t="shared" si="0"/>
        <v>3</v>
      </c>
      <c r="AC9">
        <f t="shared" si="1"/>
        <v>4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2</v>
      </c>
      <c r="E13" s="12">
        <v>4</v>
      </c>
      <c r="F13" s="12">
        <v>4</v>
      </c>
      <c r="AA13">
        <f t="shared" si="2"/>
        <v>2</v>
      </c>
      <c r="AB13">
        <f t="shared" si="0"/>
        <v>4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3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4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3</v>
      </c>
      <c r="Y19" t="s">
        <v>45</v>
      </c>
      <c r="Z19" t="s">
        <v>46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4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opLeftCell="G1" zoomScaleNormal="100" workbookViewId="0">
      <selection activeCell="D8" sqref="D8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13</v>
      </c>
      <c r="E5" s="19">
        <f t="shared" ref="E5:E13" si="0">AH5</f>
        <v>3</v>
      </c>
      <c r="F5" s="19">
        <f t="shared" ref="F5:F13" si="1">AI5</f>
        <v>0</v>
      </c>
      <c r="H5" s="15" t="s">
        <v>7</v>
      </c>
      <c r="I5" s="25">
        <f t="shared" ref="I5:K9" si="2">AG17</f>
        <v>13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20</v>
      </c>
      <c r="N5" s="33">
        <f>M5/$M$10</f>
        <v>6.9930069930069935E-2</v>
      </c>
      <c r="AG5">
        <v>13</v>
      </c>
      <c r="AH5">
        <v>3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2</v>
      </c>
      <c r="E6" s="18">
        <f t="shared" si="0"/>
        <v>2</v>
      </c>
      <c r="F6" s="18">
        <f t="shared" si="1"/>
        <v>0</v>
      </c>
      <c r="H6" s="15" t="s">
        <v>6</v>
      </c>
      <c r="I6" s="26">
        <f t="shared" si="2"/>
        <v>88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94</v>
      </c>
      <c r="N6" s="34">
        <f>M6/$M$10</f>
        <v>0.32867132867132864</v>
      </c>
      <c r="AG6">
        <v>2</v>
      </c>
      <c r="AH6">
        <v>2</v>
      </c>
      <c r="AI6">
        <v>0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0</v>
      </c>
      <c r="H7" s="15" t="s">
        <v>5</v>
      </c>
      <c r="I7" s="27">
        <f t="shared" si="2"/>
        <v>95</v>
      </c>
      <c r="J7" s="27">
        <f t="shared" si="2"/>
        <v>4</v>
      </c>
      <c r="K7" s="27">
        <f t="shared" si="2"/>
        <v>0</v>
      </c>
      <c r="L7" s="27">
        <f t="shared" ref="L7:M7" si="6">AJ19</f>
        <v>0</v>
      </c>
      <c r="M7" s="27">
        <f t="shared" si="6"/>
        <v>99</v>
      </c>
      <c r="N7" s="35">
        <f>M7/$M$10</f>
        <v>0.34615384615384615</v>
      </c>
      <c r="AG7">
        <v>0</v>
      </c>
      <c r="AH7">
        <v>0</v>
      </c>
      <c r="AI7">
        <v>0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25</v>
      </c>
      <c r="E8" s="19">
        <f t="shared" si="0"/>
        <v>17</v>
      </c>
      <c r="F8" s="18">
        <f t="shared" si="1"/>
        <v>1</v>
      </c>
      <c r="H8" s="15" t="s">
        <v>4</v>
      </c>
      <c r="I8" s="28">
        <f t="shared" si="2"/>
        <v>44</v>
      </c>
      <c r="J8" s="28">
        <f t="shared" si="2"/>
        <v>8</v>
      </c>
      <c r="K8" s="28">
        <f t="shared" si="2"/>
        <v>0</v>
      </c>
      <c r="L8" s="28">
        <f t="shared" ref="L8:M8" si="7">AJ20</f>
        <v>0</v>
      </c>
      <c r="M8" s="28">
        <f t="shared" si="7"/>
        <v>52</v>
      </c>
      <c r="N8" s="36">
        <f>M8/$M$10</f>
        <v>0.18181818181818182</v>
      </c>
      <c r="AG8">
        <v>25</v>
      </c>
      <c r="AH8">
        <v>17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31</v>
      </c>
      <c r="E9" s="18">
        <f t="shared" si="0"/>
        <v>52</v>
      </c>
      <c r="F9" s="17">
        <f t="shared" si="1"/>
        <v>4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7.3426573426573424E-2</v>
      </c>
      <c r="AG9">
        <v>31</v>
      </c>
      <c r="AH9">
        <v>52</v>
      </c>
      <c r="AI9">
        <v>4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2</v>
      </c>
      <c r="E10" s="18">
        <f t="shared" si="0"/>
        <v>4</v>
      </c>
      <c r="F10" s="17">
        <f t="shared" si="1"/>
        <v>0</v>
      </c>
      <c r="I10">
        <f>AG22</f>
        <v>240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286</v>
      </c>
      <c r="AG10">
        <v>2</v>
      </c>
      <c r="AH10">
        <v>4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5</v>
      </c>
      <c r="F11" s="18">
        <f t="shared" si="1"/>
        <v>1</v>
      </c>
      <c r="AG11">
        <v>0</v>
      </c>
      <c r="AH11">
        <v>5</v>
      </c>
      <c r="AI11">
        <v>1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5</v>
      </c>
      <c r="E12" s="18">
        <f t="shared" si="0"/>
        <v>30</v>
      </c>
      <c r="F12" s="17">
        <f t="shared" si="1"/>
        <v>10</v>
      </c>
      <c r="AG12">
        <v>5</v>
      </c>
      <c r="AH12">
        <v>30</v>
      </c>
      <c r="AI12">
        <v>10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9">
        <f t="shared" si="4"/>
        <v>3</v>
      </c>
      <c r="E13" s="17">
        <f t="shared" si="0"/>
        <v>17</v>
      </c>
      <c r="F13" s="17">
        <f t="shared" si="1"/>
        <v>13</v>
      </c>
      <c r="AG13">
        <v>3</v>
      </c>
      <c r="AH13">
        <v>17</v>
      </c>
      <c r="AI13">
        <v>13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2</v>
      </c>
      <c r="AI14">
        <v>0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13</v>
      </c>
      <c r="AH17">
        <v>7</v>
      </c>
      <c r="AI17">
        <v>0</v>
      </c>
      <c r="AJ17">
        <v>0</v>
      </c>
      <c r="AK17">
        <v>20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88</v>
      </c>
      <c r="AH18">
        <v>6</v>
      </c>
      <c r="AI18">
        <v>0</v>
      </c>
      <c r="AJ18">
        <v>0</v>
      </c>
      <c r="AK18">
        <v>94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2</v>
      </c>
      <c r="F19" s="23">
        <f t="shared" si="13"/>
        <v>0</v>
      </c>
      <c r="AG19">
        <v>95</v>
      </c>
      <c r="AH19">
        <v>4</v>
      </c>
      <c r="AI19">
        <v>0</v>
      </c>
      <c r="AJ19">
        <v>0</v>
      </c>
      <c r="AK19">
        <v>99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4">
        <f t="shared" si="14"/>
        <v>3</v>
      </c>
      <c r="AG20">
        <v>44</v>
      </c>
      <c r="AH20">
        <v>8</v>
      </c>
      <c r="AI20">
        <v>0</v>
      </c>
      <c r="AJ20">
        <v>0</v>
      </c>
      <c r="AK20">
        <v>52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240</v>
      </c>
      <c r="AH22">
        <v>25</v>
      </c>
      <c r="AI22">
        <v>7</v>
      </c>
      <c r="AJ22">
        <v>14</v>
      </c>
      <c r="AK22">
        <v>286</v>
      </c>
    </row>
    <row r="23" spans="3:37" x14ac:dyDescent="0.25">
      <c r="AG23">
        <v>9</v>
      </c>
      <c r="AH23">
        <v>7</v>
      </c>
      <c r="AI23">
        <v>4</v>
      </c>
      <c r="AJ23" t="e">
        <v>#N/A</v>
      </c>
      <c r="AK23" t="e">
        <v>#N/A</v>
      </c>
    </row>
    <row r="24" spans="3:37" x14ac:dyDescent="0.25">
      <c r="AG24">
        <v>53</v>
      </c>
      <c r="AH24">
        <v>12</v>
      </c>
      <c r="AI24">
        <v>22</v>
      </c>
      <c r="AJ24" t="e">
        <v>#N/A</v>
      </c>
      <c r="AK24" t="e">
        <v>#N/A</v>
      </c>
    </row>
    <row r="25" spans="3:37" x14ac:dyDescent="0.25">
      <c r="AG25">
        <v>60</v>
      </c>
      <c r="AH25">
        <v>6</v>
      </c>
      <c r="AI25">
        <v>27</v>
      </c>
      <c r="AJ25" t="e">
        <v>#N/A</v>
      </c>
      <c r="AK25" t="e">
        <v>#N/A</v>
      </c>
    </row>
    <row r="26" spans="3:37" x14ac:dyDescent="0.25">
      <c r="AG26">
        <v>38</v>
      </c>
      <c r="AH26">
        <v>2</v>
      </c>
      <c r="AI26">
        <v>9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4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9</v>
      </c>
      <c r="K44" s="33">
        <f>J44/$J$49</f>
        <v>5.0847457627118647E-2</v>
      </c>
      <c r="L44" s="25">
        <f>AH23</f>
        <v>7</v>
      </c>
      <c r="M44" s="33">
        <f>L44/$L$49</f>
        <v>0.25925925925925924</v>
      </c>
      <c r="N44" s="25">
        <f>AI23</f>
        <v>4</v>
      </c>
      <c r="O44" s="33">
        <f>N44/$N$49</f>
        <v>6.0606060606060608E-2</v>
      </c>
    </row>
    <row r="45" spans="9:15" ht="30.75" thickBot="1" x14ac:dyDescent="0.3">
      <c r="I45" s="15" t="s">
        <v>6</v>
      </c>
      <c r="J45" s="26">
        <f>AG24</f>
        <v>53</v>
      </c>
      <c r="K45" s="34">
        <f>J45/$J$49</f>
        <v>0.29943502824858759</v>
      </c>
      <c r="L45" s="26">
        <f>AH24</f>
        <v>12</v>
      </c>
      <c r="M45" s="34">
        <f>L45/$L$49</f>
        <v>0.44444444444444442</v>
      </c>
      <c r="N45" s="26">
        <f>AI24</f>
        <v>22</v>
      </c>
      <c r="O45" s="34">
        <f>N45/$N$49</f>
        <v>0.33333333333333331</v>
      </c>
    </row>
    <row r="46" spans="9:15" ht="15.75" thickBot="1" x14ac:dyDescent="0.3">
      <c r="I46" s="15" t="s">
        <v>5</v>
      </c>
      <c r="J46" s="27">
        <f>AG25</f>
        <v>60</v>
      </c>
      <c r="K46" s="35">
        <f>J46/$J$49</f>
        <v>0.33898305084745761</v>
      </c>
      <c r="L46" s="27">
        <f>AH25</f>
        <v>6</v>
      </c>
      <c r="M46" s="35">
        <f>L46/$L$49</f>
        <v>0.22222222222222221</v>
      </c>
      <c r="N46" s="27">
        <f>AI25</f>
        <v>27</v>
      </c>
      <c r="O46" s="35">
        <f>N46/$N$49</f>
        <v>0.40909090909090912</v>
      </c>
    </row>
    <row r="47" spans="9:15" ht="15.75" thickBot="1" x14ac:dyDescent="0.3">
      <c r="I47" s="15" t="s">
        <v>4</v>
      </c>
      <c r="J47" s="28">
        <f>AG26</f>
        <v>38</v>
      </c>
      <c r="K47" s="36">
        <f>J47/$J$49</f>
        <v>0.21468926553672316</v>
      </c>
      <c r="L47" s="28">
        <f>AH26</f>
        <v>2</v>
      </c>
      <c r="M47" s="36">
        <f>L47/$L$49</f>
        <v>7.407407407407407E-2</v>
      </c>
      <c r="N47" s="28">
        <f>AI26</f>
        <v>9</v>
      </c>
      <c r="O47" s="36">
        <f>N47/$N$49</f>
        <v>0.13636363636363635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4</v>
      </c>
      <c r="O48" s="37">
        <f>N48/$N$49</f>
        <v>6.0606060606060608E-2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Meeting Targets</v>
      </c>
      <c r="AA8">
        <v>83</v>
      </c>
      <c r="AB8" t="s">
        <v>36</v>
      </c>
      <c r="AC8">
        <v>2</v>
      </c>
    </row>
    <row r="9" spans="3:29" x14ac:dyDescent="0.25">
      <c r="AA9" t="e">
        <v>#N/A</v>
      </c>
      <c r="AB9" t="s">
        <v>47</v>
      </c>
      <c r="AC9">
        <v>3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2014-10-16T21:35:44Z</dcterms:modified>
</cp:coreProperties>
</file>
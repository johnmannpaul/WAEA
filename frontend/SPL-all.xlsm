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0" yWindow="0" windowWidth="0" windowHeight="0"/>
  </bookViews>
  <sheets>
    <sheet name="impact" sheetId="1" r:id="rId1"/>
    <sheet name="correlation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K39" i="1" l="1"/>
  <c r="K38" i="1"/>
  <c r="K18" i="1"/>
  <c r="K29" i="1"/>
  <c r="K28" i="1"/>
  <c r="K17" i="1"/>
  <c r="H41" i="1" l="1"/>
  <c r="G41" i="1"/>
  <c r="F41" i="1"/>
  <c r="E41" i="1"/>
  <c r="D41" i="1"/>
  <c r="H40" i="1"/>
  <c r="G40" i="1"/>
  <c r="F40" i="1"/>
  <c r="E40" i="1"/>
  <c r="D40" i="1"/>
  <c r="H39" i="1"/>
  <c r="G39" i="1"/>
  <c r="F39" i="1"/>
  <c r="E39" i="1"/>
  <c r="D39" i="1"/>
  <c r="H38" i="1"/>
  <c r="G38" i="1"/>
  <c r="F38" i="1"/>
  <c r="E38" i="1"/>
  <c r="D38" i="1"/>
  <c r="H37" i="1"/>
  <c r="G37" i="1"/>
  <c r="F37" i="1"/>
  <c r="E37" i="1"/>
  <c r="D37" i="1"/>
  <c r="H31" i="1"/>
  <c r="G31" i="1"/>
  <c r="F31" i="1"/>
  <c r="E31" i="1"/>
  <c r="D31" i="1"/>
  <c r="H30" i="1"/>
  <c r="G30" i="1"/>
  <c r="F30" i="1"/>
  <c r="E30" i="1"/>
  <c r="D30" i="1"/>
  <c r="H29" i="1"/>
  <c r="G29" i="1"/>
  <c r="F29" i="1"/>
  <c r="E29" i="1"/>
  <c r="D29" i="1"/>
  <c r="H28" i="1"/>
  <c r="G28" i="1"/>
  <c r="F28" i="1"/>
  <c r="E28" i="1"/>
  <c r="D28" i="1"/>
  <c r="H27" i="1"/>
  <c r="G27" i="1"/>
  <c r="F27" i="1"/>
  <c r="E27" i="1"/>
  <c r="D27" i="1"/>
  <c r="H20" i="1" l="1"/>
  <c r="G20" i="1"/>
  <c r="F20" i="1"/>
  <c r="E20" i="1"/>
  <c r="D20" i="1"/>
  <c r="H19" i="1" l="1"/>
  <c r="G19" i="1"/>
  <c r="F19" i="1"/>
  <c r="E19" i="1"/>
  <c r="H18" i="1"/>
  <c r="G18" i="1"/>
  <c r="F18" i="1"/>
  <c r="E18" i="1"/>
  <c r="H17" i="1"/>
  <c r="G17" i="1"/>
  <c r="F17" i="1"/>
  <c r="E17" i="1"/>
  <c r="H16" i="1"/>
  <c r="G16" i="1"/>
  <c r="F16" i="1"/>
  <c r="E16" i="1"/>
  <c r="D19" i="1"/>
  <c r="D18" i="1"/>
  <c r="D17" i="1"/>
  <c r="D16" i="1"/>
  <c r="F10" i="1"/>
  <c r="E10" i="1"/>
  <c r="F9" i="1"/>
  <c r="E9" i="1"/>
  <c r="F8" i="1"/>
  <c r="E8" i="1"/>
  <c r="F7" i="1"/>
  <c r="E7" i="1"/>
  <c r="F6" i="1"/>
  <c r="E6" i="1"/>
  <c r="D10" i="1"/>
  <c r="D9" i="1"/>
  <c r="D8" i="1"/>
  <c r="D7" i="1"/>
  <c r="D6" i="1"/>
</calcChain>
</file>

<file path=xl/sharedStrings.xml><?xml version="1.0" encoding="utf-8"?>
<sst xmlns="http://schemas.openxmlformats.org/spreadsheetml/2006/main" count="59" uniqueCount="23">
  <si>
    <t>all schools</t>
  </si>
  <si>
    <t>Not Meeting</t>
  </si>
  <si>
    <t>Partially Meeting</t>
  </si>
  <si>
    <t>Meeting</t>
  </si>
  <si>
    <t>Exceeding</t>
  </si>
  <si>
    <t>Not Classified</t>
  </si>
  <si>
    <t>3-8 schools</t>
  </si>
  <si>
    <t>high schools</t>
  </si>
  <si>
    <t>last year's SPL</t>
  </si>
  <si>
    <t>this year's SPL</t>
  </si>
  <si>
    <t>Chi square</t>
  </si>
  <si>
    <t>Spearman's rho</t>
  </si>
  <si>
    <t>SCHOOL_ID</t>
  </si>
  <si>
    <t>length</t>
  </si>
  <si>
    <t xml:space="preserve">Exceeding </t>
  </si>
  <si>
    <t>Undefined</t>
  </si>
  <si>
    <t>current year</t>
  </si>
  <si>
    <t>prior year</t>
  </si>
  <si>
    <t xml:space="preserve">Comparison of current year and prior year SPLs for 3-8 schools </t>
  </si>
  <si>
    <t xml:space="preserve">Comparison of current year and prior year SPLs for high schools </t>
  </si>
  <si>
    <t xml:space="preserve">Comparison of current year and prior year SPLs for all schools </t>
  </si>
  <si>
    <t>Exact</t>
  </si>
  <si>
    <t>By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</si>
</sst>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6347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Fill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10" fontId="0" fillId="2" borderId="2" xfId="0" applyNumberFormat="1" applyFill="1" applyBorder="1"/>
    <xf numFmtId="10" fontId="0" fillId="3" borderId="2" xfId="0" applyNumberFormat="1" applyFill="1" applyBorder="1"/>
    <xf numFmtId="10" fontId="0" fillId="4" borderId="2" xfId="0" applyNumberFormat="1" applyFill="1" applyBorder="1"/>
    <xf numFmtId="10" fontId="0" fillId="5" borderId="2" xfId="0" applyNumberFormat="1" applyFill="1" applyBorder="1"/>
    <xf numFmtId="10" fontId="0" fillId="6" borderId="2" xfId="0" applyNumberFormat="1" applyFill="1" applyBorder="1"/>
    <xf numFmtId="0" fontId="0" fillId="0" borderId="3" xfId="0" applyBorder="1" applyAlignment="1">
      <alignment horizontal="right"/>
    </xf>
    <xf numFmtId="0" fontId="0" fillId="7" borderId="3" xfId="0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0" fontId="0" fillId="9" borderId="3" xfId="0" applyFill="1" applyBorder="1" applyAlignment="1">
      <alignment horizontal="right"/>
    </xf>
    <xf numFmtId="0" fontId="0" fillId="10" borderId="3" xfId="0" applyFill="1" applyBorder="1" applyAlignment="1">
      <alignment horizontal="right"/>
    </xf>
    <xf numFmtId="0" fontId="0" fillId="0" borderId="4" xfId="0" applyBorder="1" applyAlignment="1">
      <alignment horizontal="right"/>
    </xf>
    <xf numFmtId="0" fontId="6" fillId="0" borderId="6" xfId="0" applyFont="1" applyBorder="1" applyAlignment="1">
      <alignment vertical="center" textRotation="90"/>
    </xf>
    <xf numFmtId="0" fontId="3" fillId="0" borderId="0" xfId="0" applyFont="1" applyFill="1" applyBorder="1" applyAlignment="1">
      <alignment horizontal="center" wrapText="1"/>
    </xf>
    <xf numFmtId="0" fontId="4" fillId="0" borderId="0" xfId="0" applyFont="1" applyAlignment="1"/>
    <xf numFmtId="0" fontId="5" fillId="0" borderId="5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FF"/>
      <color rgb="FF00FF00"/>
      <color rgb="FFFFFF00"/>
      <color rgb="FFFFA500"/>
      <color rgb="FFFF6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5</xdr:row>
          <xdr:rowOff>76200</xdr:rowOff>
        </xdr:from>
        <xdr:to>
          <xdr:col>7</xdr:col>
          <xdr:colOff>638175</xdr:colOff>
          <xdr:row>5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4:AE42"/>
  <sheetViews>
    <sheetView tabSelected="1" workbookViewId="0">
      <selection activeCell="F10" sqref="F10"/>
    </sheetView>
  </sheetViews>
  <sheetFormatPr defaultColWidth="11" defaultRowHeight="15" x14ac:dyDescent="0.25"/>
  <cols>
    <col min="3" max="3" width="16.28515625" bestFit="1" customWidth="1"/>
    <col min="4" max="4" width="12.140625" bestFit="1" customWidth="1"/>
    <col min="5" max="5" width="16.28515625" bestFit="1" customWidth="1"/>
    <col min="6" max="6" width="9.5703125" bestFit="1" customWidth="1"/>
    <col min="7" max="8" width="10.42578125" bestFit="1" customWidth="1"/>
    <col min="26" max="26" width="6.7109375" bestFit="1" customWidth="1"/>
    <col min="27" max="27" width="4" bestFit="1" customWidth="1"/>
    <col min="28" max="28" width="3" bestFit="1" customWidth="1"/>
    <col min="29" max="29" width="4" bestFit="1" customWidth="1"/>
    <col min="30" max="30" width="5.5703125" bestFit="1" customWidth="1"/>
  </cols>
  <sheetData>
    <row r="4" spans="2:31" ht="15.75" thickBot="1" x14ac:dyDescent="0.3"/>
    <row r="5" spans="2:31" ht="30.75" thickBot="1" x14ac:dyDescent="0.3">
      <c r="C5" s="1"/>
      <c r="D5" s="2" t="s">
        <v>6</v>
      </c>
      <c r="E5" s="2" t="s">
        <v>7</v>
      </c>
      <c r="F5" s="2" t="s">
        <v>0</v>
      </c>
    </row>
    <row r="6" spans="2:31" ht="30.75" thickBot="1" x14ac:dyDescent="0.3">
      <c r="C6" s="2" t="s">
        <v>1</v>
      </c>
      <c r="D6" s="4">
        <f>AA6/AA$11</f>
        <v>7.3426573426573424E-2</v>
      </c>
      <c r="E6" s="4">
        <f t="shared" ref="E6:E10" si="0">AB6/AB$11</f>
        <v>0.33333333333333331</v>
      </c>
      <c r="F6" s="4">
        <f t="shared" ref="F6:F10" si="1">AC6/AC$11</f>
        <v>0.1359773371104816</v>
      </c>
      <c r="AA6">
        <v>21</v>
      </c>
      <c r="AB6">
        <v>28</v>
      </c>
      <c r="AC6">
        <v>48</v>
      </c>
      <c r="AD6" t="e">
        <v>#N/A</v>
      </c>
      <c r="AE6" t="e">
        <v>#N/A</v>
      </c>
    </row>
    <row r="7" spans="2:31" ht="30.75" thickBot="1" x14ac:dyDescent="0.3">
      <c r="C7" s="2" t="s">
        <v>2</v>
      </c>
      <c r="D7" s="5">
        <f t="shared" ref="D7:D10" si="2">AA7/AA$11</f>
        <v>0.32867132867132864</v>
      </c>
      <c r="E7" s="5">
        <f t="shared" si="0"/>
        <v>0.20238095238095238</v>
      </c>
      <c r="F7" s="5">
        <f t="shared" si="1"/>
        <v>0.3002832861189802</v>
      </c>
      <c r="AA7">
        <v>94</v>
      </c>
      <c r="AB7">
        <v>17</v>
      </c>
      <c r="AC7">
        <v>106</v>
      </c>
      <c r="AD7" t="e">
        <v>#N/A</v>
      </c>
      <c r="AE7" t="e">
        <v>#N/A</v>
      </c>
    </row>
    <row r="8" spans="2:31" ht="15.75" thickBot="1" x14ac:dyDescent="0.3">
      <c r="C8" s="2" t="s">
        <v>3</v>
      </c>
      <c r="D8" s="6">
        <f t="shared" si="2"/>
        <v>0.34615384615384615</v>
      </c>
      <c r="E8" s="6">
        <f t="shared" si="0"/>
        <v>0.27380952380952384</v>
      </c>
      <c r="F8" s="6">
        <f t="shared" si="1"/>
        <v>0.32577903682719545</v>
      </c>
      <c r="AA8">
        <v>99</v>
      </c>
      <c r="AB8">
        <v>23</v>
      </c>
      <c r="AC8">
        <v>115</v>
      </c>
      <c r="AD8" t="e">
        <v>#N/A</v>
      </c>
      <c r="AE8" t="e">
        <v>#N/A</v>
      </c>
    </row>
    <row r="9" spans="2:31" ht="15.75" thickBot="1" x14ac:dyDescent="0.3">
      <c r="C9" s="2" t="s">
        <v>4</v>
      </c>
      <c r="D9" s="7">
        <f t="shared" si="2"/>
        <v>0.17832167832167833</v>
      </c>
      <c r="E9" s="7">
        <f t="shared" si="0"/>
        <v>0.14285714285714285</v>
      </c>
      <c r="F9" s="7">
        <f t="shared" si="1"/>
        <v>0.16997167138810199</v>
      </c>
      <c r="AA9">
        <v>51</v>
      </c>
      <c r="AB9">
        <v>12</v>
      </c>
      <c r="AC9">
        <v>60</v>
      </c>
      <c r="AD9" t="e">
        <v>#N/A</v>
      </c>
      <c r="AE9" t="e">
        <v>#N/A</v>
      </c>
    </row>
    <row r="10" spans="2:31" ht="30.75" thickBot="1" x14ac:dyDescent="0.3">
      <c r="C10" s="2" t="s">
        <v>5</v>
      </c>
      <c r="D10" s="8">
        <f t="shared" si="2"/>
        <v>7.3426573426573424E-2</v>
      </c>
      <c r="E10" s="8">
        <f t="shared" si="0"/>
        <v>4.7619047619047616E-2</v>
      </c>
      <c r="F10" s="8">
        <f t="shared" si="1"/>
        <v>6.79886685552408E-2</v>
      </c>
      <c r="AA10">
        <v>21</v>
      </c>
      <c r="AB10">
        <v>4</v>
      </c>
      <c r="AC10">
        <v>24</v>
      </c>
      <c r="AD10" t="e">
        <v>#N/A</v>
      </c>
      <c r="AE10" t="e">
        <v>#N/A</v>
      </c>
    </row>
    <row r="11" spans="2:31" x14ac:dyDescent="0.25">
      <c r="C11" s="3"/>
      <c r="AA11">
        <v>286</v>
      </c>
      <c r="AB11">
        <v>84</v>
      </c>
      <c r="AC11">
        <v>353</v>
      </c>
      <c r="AD11" t="e">
        <v>#N/A</v>
      </c>
      <c r="AE11" t="e">
        <v>#N/A</v>
      </c>
    </row>
    <row r="12" spans="2:31" x14ac:dyDescent="0.25">
      <c r="AA12">
        <v>8</v>
      </c>
      <c r="AB12">
        <v>21</v>
      </c>
      <c r="AC12">
        <v>4</v>
      </c>
      <c r="AD12">
        <v>0</v>
      </c>
      <c r="AE12">
        <v>0</v>
      </c>
    </row>
    <row r="13" spans="2:31" x14ac:dyDescent="0.25">
      <c r="AA13">
        <v>8</v>
      </c>
      <c r="AB13">
        <v>42</v>
      </c>
      <c r="AC13">
        <v>16</v>
      </c>
      <c r="AD13">
        <v>2</v>
      </c>
      <c r="AE13">
        <v>2</v>
      </c>
    </row>
    <row r="14" spans="2:31" x14ac:dyDescent="0.25">
      <c r="D14" s="18" t="s">
        <v>16</v>
      </c>
      <c r="E14" s="18"/>
      <c r="F14" s="18"/>
      <c r="G14" s="18"/>
      <c r="H14" s="18"/>
      <c r="AA14">
        <v>5</v>
      </c>
      <c r="AB14">
        <v>27</v>
      </c>
      <c r="AC14">
        <v>71</v>
      </c>
      <c r="AD14">
        <v>25</v>
      </c>
      <c r="AE14">
        <v>1</v>
      </c>
    </row>
    <row r="15" spans="2:31" x14ac:dyDescent="0.25">
      <c r="D15" s="9" t="s">
        <v>1</v>
      </c>
      <c r="E15" s="9" t="s">
        <v>2</v>
      </c>
      <c r="F15" s="9" t="s">
        <v>3</v>
      </c>
      <c r="G15" s="9" t="s">
        <v>14</v>
      </c>
      <c r="H15" s="9" t="s">
        <v>15</v>
      </c>
      <c r="AA15">
        <v>0</v>
      </c>
      <c r="AB15">
        <v>3</v>
      </c>
      <c r="AC15">
        <v>7</v>
      </c>
      <c r="AD15">
        <v>23</v>
      </c>
      <c r="AE15">
        <v>0</v>
      </c>
    </row>
    <row r="16" spans="2:31" x14ac:dyDescent="0.25">
      <c r="B16" s="15" t="s">
        <v>17</v>
      </c>
      <c r="C16" s="14" t="s">
        <v>1</v>
      </c>
      <c r="D16" s="9">
        <f>AA12</f>
        <v>8</v>
      </c>
      <c r="E16" s="11">
        <f t="shared" ref="E16:H20" si="3">AB12</f>
        <v>21</v>
      </c>
      <c r="F16" s="12">
        <f t="shared" si="3"/>
        <v>4</v>
      </c>
      <c r="G16" s="13">
        <f t="shared" si="3"/>
        <v>0</v>
      </c>
      <c r="H16" s="10">
        <f t="shared" si="3"/>
        <v>0</v>
      </c>
      <c r="AA16">
        <v>0</v>
      </c>
      <c r="AB16">
        <v>1</v>
      </c>
      <c r="AC16">
        <v>1</v>
      </c>
      <c r="AD16">
        <v>1</v>
      </c>
      <c r="AE16">
        <v>19</v>
      </c>
    </row>
    <row r="17" spans="2:31" x14ac:dyDescent="0.25">
      <c r="B17" s="15"/>
      <c r="C17" s="14" t="s">
        <v>2</v>
      </c>
      <c r="D17" s="11">
        <f t="shared" ref="D17:D20" si="4">AA13</f>
        <v>8</v>
      </c>
      <c r="E17" s="9">
        <f t="shared" si="3"/>
        <v>42</v>
      </c>
      <c r="F17" s="11">
        <f t="shared" si="3"/>
        <v>16</v>
      </c>
      <c r="G17" s="12">
        <f t="shared" si="3"/>
        <v>2</v>
      </c>
      <c r="H17" s="10">
        <f t="shared" si="3"/>
        <v>2</v>
      </c>
      <c r="J17" t="s">
        <v>21</v>
      </c>
      <c r="K17">
        <f>AA27</f>
        <v>54.96</v>
      </c>
      <c r="AA17">
        <v>18</v>
      </c>
      <c r="AB17">
        <v>6</v>
      </c>
      <c r="AC17">
        <v>0</v>
      </c>
      <c r="AD17">
        <v>0</v>
      </c>
      <c r="AE17">
        <v>1</v>
      </c>
    </row>
    <row r="18" spans="2:31" x14ac:dyDescent="0.25">
      <c r="B18" s="15"/>
      <c r="C18" s="14" t="s">
        <v>3</v>
      </c>
      <c r="D18" s="12">
        <f t="shared" si="4"/>
        <v>5</v>
      </c>
      <c r="E18" s="11">
        <f t="shared" si="3"/>
        <v>27</v>
      </c>
      <c r="F18" s="9">
        <f t="shared" si="3"/>
        <v>71</v>
      </c>
      <c r="G18" s="11">
        <f t="shared" si="3"/>
        <v>25</v>
      </c>
      <c r="H18" s="10">
        <f t="shared" si="3"/>
        <v>1</v>
      </c>
      <c r="J18" t="s">
        <v>22</v>
      </c>
      <c r="K18">
        <f>AB27</f>
        <v>94.66</v>
      </c>
      <c r="AA18">
        <v>5</v>
      </c>
      <c r="AB18">
        <v>4</v>
      </c>
      <c r="AC18">
        <v>5</v>
      </c>
      <c r="AD18">
        <v>3</v>
      </c>
      <c r="AE18">
        <v>0</v>
      </c>
    </row>
    <row r="19" spans="2:31" x14ac:dyDescent="0.25">
      <c r="B19" s="15"/>
      <c r="C19" s="14" t="s">
        <v>4</v>
      </c>
      <c r="D19" s="13">
        <f t="shared" si="4"/>
        <v>0</v>
      </c>
      <c r="E19" s="12">
        <f t="shared" si="3"/>
        <v>3</v>
      </c>
      <c r="F19" s="11">
        <f t="shared" si="3"/>
        <v>7</v>
      </c>
      <c r="G19" s="9">
        <f t="shared" si="3"/>
        <v>23</v>
      </c>
      <c r="H19" s="10">
        <f t="shared" si="3"/>
        <v>0</v>
      </c>
      <c r="AA19">
        <v>4</v>
      </c>
      <c r="AB19">
        <v>6</v>
      </c>
      <c r="AC19">
        <v>15</v>
      </c>
      <c r="AD19">
        <v>5</v>
      </c>
      <c r="AE19">
        <v>0</v>
      </c>
    </row>
    <row r="20" spans="2:31" x14ac:dyDescent="0.25">
      <c r="B20" s="15"/>
      <c r="C20" s="14" t="s">
        <v>15</v>
      </c>
      <c r="D20" s="10">
        <f t="shared" si="4"/>
        <v>0</v>
      </c>
      <c r="E20" s="10">
        <f t="shared" si="3"/>
        <v>1</v>
      </c>
      <c r="F20" s="10">
        <f t="shared" si="3"/>
        <v>1</v>
      </c>
      <c r="G20" s="10">
        <f t="shared" si="3"/>
        <v>1</v>
      </c>
      <c r="H20" s="10">
        <f t="shared" si="3"/>
        <v>19</v>
      </c>
      <c r="AA20">
        <v>0</v>
      </c>
      <c r="AB20">
        <v>1</v>
      </c>
      <c r="AC20">
        <v>2</v>
      </c>
      <c r="AD20">
        <v>4</v>
      </c>
      <c r="AE20">
        <v>0</v>
      </c>
    </row>
    <row r="21" spans="2:31" ht="18.75" x14ac:dyDescent="0.3">
      <c r="C21" s="16" t="s">
        <v>18</v>
      </c>
      <c r="D21" s="17"/>
      <c r="E21" s="17"/>
      <c r="F21" s="17"/>
      <c r="G21" s="17"/>
      <c r="H21" s="17"/>
      <c r="AA21">
        <v>1</v>
      </c>
      <c r="AB21">
        <v>0</v>
      </c>
      <c r="AC21">
        <v>1</v>
      </c>
      <c r="AD21">
        <v>0</v>
      </c>
      <c r="AE21">
        <v>4</v>
      </c>
    </row>
    <row r="22" spans="2:31" x14ac:dyDescent="0.25">
      <c r="AA22">
        <v>25</v>
      </c>
      <c r="AB22">
        <v>26</v>
      </c>
      <c r="AC22">
        <v>4</v>
      </c>
      <c r="AD22">
        <v>0</v>
      </c>
      <c r="AE22">
        <v>1</v>
      </c>
    </row>
    <row r="23" spans="2:31" x14ac:dyDescent="0.25">
      <c r="AA23">
        <v>13</v>
      </c>
      <c r="AB23">
        <v>44</v>
      </c>
      <c r="AC23">
        <v>20</v>
      </c>
      <c r="AD23">
        <v>5</v>
      </c>
      <c r="AE23">
        <v>2</v>
      </c>
    </row>
    <row r="24" spans="2:31" x14ac:dyDescent="0.25">
      <c r="AA24">
        <v>9</v>
      </c>
      <c r="AB24">
        <v>31</v>
      </c>
      <c r="AC24">
        <v>81</v>
      </c>
      <c r="AD24">
        <v>29</v>
      </c>
      <c r="AE24">
        <v>1</v>
      </c>
    </row>
    <row r="25" spans="2:31" x14ac:dyDescent="0.25">
      <c r="D25" s="18" t="s">
        <v>16</v>
      </c>
      <c r="E25" s="18"/>
      <c r="F25" s="18"/>
      <c r="G25" s="18"/>
      <c r="H25" s="18"/>
      <c r="AA25">
        <v>0</v>
      </c>
      <c r="AB25">
        <v>4</v>
      </c>
      <c r="AC25">
        <v>8</v>
      </c>
      <c r="AD25">
        <v>25</v>
      </c>
      <c r="AE25">
        <v>0</v>
      </c>
    </row>
    <row r="26" spans="2:31" x14ac:dyDescent="0.25">
      <c r="D26" s="9" t="s">
        <v>1</v>
      </c>
      <c r="E26" s="9" t="s">
        <v>2</v>
      </c>
      <c r="F26" s="9" t="s">
        <v>3</v>
      </c>
      <c r="G26" s="9" t="s">
        <v>14</v>
      </c>
      <c r="H26" s="9" t="s">
        <v>15</v>
      </c>
      <c r="AA26">
        <v>1</v>
      </c>
      <c r="AB26">
        <v>1</v>
      </c>
      <c r="AC26">
        <v>2</v>
      </c>
      <c r="AD26">
        <v>1</v>
      </c>
      <c r="AE26">
        <v>22</v>
      </c>
    </row>
    <row r="27" spans="2:31" x14ac:dyDescent="0.25">
      <c r="B27" s="15" t="s">
        <v>17</v>
      </c>
      <c r="C27" s="9" t="s">
        <v>1</v>
      </c>
      <c r="D27" s="9">
        <f>AA17</f>
        <v>18</v>
      </c>
      <c r="E27" s="11">
        <f t="shared" ref="E27:H27" si="5">AB17</f>
        <v>6</v>
      </c>
      <c r="F27" s="12">
        <f t="shared" si="5"/>
        <v>0</v>
      </c>
      <c r="G27" s="13">
        <f t="shared" si="5"/>
        <v>0</v>
      </c>
      <c r="H27" s="10">
        <f t="shared" si="5"/>
        <v>1</v>
      </c>
      <c r="AA27">
        <v>54.96</v>
      </c>
      <c r="AB27">
        <v>94.66</v>
      </c>
      <c r="AC27" t="e">
        <v>#N/A</v>
      </c>
      <c r="AD27" t="e">
        <v>#N/A</v>
      </c>
      <c r="AE27" t="e">
        <v>#N/A</v>
      </c>
    </row>
    <row r="28" spans="2:31" x14ac:dyDescent="0.25">
      <c r="B28" s="15"/>
      <c r="C28" s="9" t="s">
        <v>2</v>
      </c>
      <c r="D28" s="11">
        <f t="shared" ref="D28:H28" si="6">AA18</f>
        <v>5</v>
      </c>
      <c r="E28" s="9">
        <f t="shared" si="6"/>
        <v>4</v>
      </c>
      <c r="F28" s="11">
        <f t="shared" si="6"/>
        <v>5</v>
      </c>
      <c r="G28" s="12">
        <f t="shared" si="6"/>
        <v>3</v>
      </c>
      <c r="H28" s="10">
        <f t="shared" si="6"/>
        <v>0</v>
      </c>
      <c r="J28" t="s">
        <v>21</v>
      </c>
      <c r="K28">
        <f>AA28</f>
        <v>52.56</v>
      </c>
      <c r="AA28">
        <v>52.56</v>
      </c>
      <c r="AB28">
        <v>89.74</v>
      </c>
      <c r="AC28" t="e">
        <v>#N/A</v>
      </c>
      <c r="AD28" t="e">
        <v>#N/A</v>
      </c>
      <c r="AE28" t="e">
        <v>#N/A</v>
      </c>
    </row>
    <row r="29" spans="2:31" x14ac:dyDescent="0.25">
      <c r="B29" s="15"/>
      <c r="C29" s="9" t="s">
        <v>3</v>
      </c>
      <c r="D29" s="12">
        <f t="shared" ref="D29:H29" si="7">AA19</f>
        <v>4</v>
      </c>
      <c r="E29" s="11">
        <f t="shared" si="7"/>
        <v>6</v>
      </c>
      <c r="F29" s="9">
        <f t="shared" si="7"/>
        <v>15</v>
      </c>
      <c r="G29" s="11">
        <f t="shared" si="7"/>
        <v>5</v>
      </c>
      <c r="H29" s="10">
        <f t="shared" si="7"/>
        <v>0</v>
      </c>
      <c r="J29" t="s">
        <v>22</v>
      </c>
      <c r="K29">
        <f>AB28</f>
        <v>89.74</v>
      </c>
      <c r="W29" t="s">
        <v>12</v>
      </c>
      <c r="X29" t="s">
        <v>13</v>
      </c>
      <c r="Y29">
        <v>1</v>
      </c>
      <c r="AA29">
        <v>54.01</v>
      </c>
      <c r="AB29">
        <v>93.21</v>
      </c>
      <c r="AC29" t="e">
        <v>#N/A</v>
      </c>
      <c r="AD29" t="e">
        <v>#N/A</v>
      </c>
      <c r="AE29" t="e">
        <v>#N/A</v>
      </c>
    </row>
    <row r="30" spans="2:31" x14ac:dyDescent="0.25">
      <c r="B30" s="15"/>
      <c r="C30" s="9" t="s">
        <v>4</v>
      </c>
      <c r="D30" s="13">
        <f t="shared" ref="D30:H30" si="8">AA20</f>
        <v>0</v>
      </c>
      <c r="E30" s="12">
        <f t="shared" si="8"/>
        <v>1</v>
      </c>
      <c r="F30" s="11">
        <f t="shared" si="8"/>
        <v>2</v>
      </c>
      <c r="G30" s="9">
        <f t="shared" si="8"/>
        <v>4</v>
      </c>
      <c r="H30" s="10">
        <f t="shared" si="8"/>
        <v>0</v>
      </c>
    </row>
    <row r="31" spans="2:31" x14ac:dyDescent="0.25">
      <c r="B31" s="15"/>
      <c r="C31" s="9" t="s">
        <v>15</v>
      </c>
      <c r="D31" s="10">
        <f t="shared" ref="D31:H31" si="9">AA21</f>
        <v>1</v>
      </c>
      <c r="E31" s="10">
        <f t="shared" si="9"/>
        <v>0</v>
      </c>
      <c r="F31" s="10">
        <f t="shared" si="9"/>
        <v>1</v>
      </c>
      <c r="G31" s="10">
        <f t="shared" si="9"/>
        <v>0</v>
      </c>
      <c r="H31" s="10">
        <f t="shared" si="9"/>
        <v>4</v>
      </c>
    </row>
    <row r="32" spans="2:31" ht="18.75" x14ac:dyDescent="0.3">
      <c r="C32" s="16" t="s">
        <v>19</v>
      </c>
      <c r="D32" s="17"/>
      <c r="E32" s="17"/>
      <c r="F32" s="17"/>
      <c r="G32" s="17"/>
      <c r="H32" s="17"/>
    </row>
    <row r="35" spans="2:11" x14ac:dyDescent="0.25">
      <c r="D35" s="18" t="s">
        <v>16</v>
      </c>
      <c r="E35" s="18"/>
      <c r="F35" s="18"/>
      <c r="G35" s="18"/>
      <c r="H35" s="18"/>
    </row>
    <row r="36" spans="2:11" x14ac:dyDescent="0.25">
      <c r="D36" s="9" t="s">
        <v>1</v>
      </c>
      <c r="E36" s="9" t="s">
        <v>2</v>
      </c>
      <c r="F36" s="9" t="s">
        <v>3</v>
      </c>
      <c r="G36" s="9" t="s">
        <v>14</v>
      </c>
      <c r="H36" s="9" t="s">
        <v>15</v>
      </c>
    </row>
    <row r="37" spans="2:11" x14ac:dyDescent="0.25">
      <c r="B37" s="15" t="s">
        <v>17</v>
      </c>
      <c r="C37" s="9" t="s">
        <v>1</v>
      </c>
      <c r="D37" s="9">
        <f>AA22</f>
        <v>25</v>
      </c>
      <c r="E37" s="11">
        <f t="shared" ref="E37:H37" si="10">AB22</f>
        <v>26</v>
      </c>
      <c r="F37" s="12">
        <f t="shared" si="10"/>
        <v>4</v>
      </c>
      <c r="G37" s="13">
        <f t="shared" si="10"/>
        <v>0</v>
      </c>
      <c r="H37" s="10">
        <f t="shared" si="10"/>
        <v>1</v>
      </c>
    </row>
    <row r="38" spans="2:11" x14ac:dyDescent="0.25">
      <c r="B38" s="15"/>
      <c r="C38" s="9" t="s">
        <v>2</v>
      </c>
      <c r="D38" s="11">
        <f t="shared" ref="D38:H38" si="11">AA23</f>
        <v>13</v>
      </c>
      <c r="E38" s="9">
        <f t="shared" si="11"/>
        <v>44</v>
      </c>
      <c r="F38" s="11">
        <f t="shared" si="11"/>
        <v>20</v>
      </c>
      <c r="G38" s="12">
        <f t="shared" si="11"/>
        <v>5</v>
      </c>
      <c r="H38" s="10">
        <f t="shared" si="11"/>
        <v>2</v>
      </c>
      <c r="J38" t="s">
        <v>21</v>
      </c>
      <c r="K38">
        <f>AA29</f>
        <v>54.01</v>
      </c>
    </row>
    <row r="39" spans="2:11" x14ac:dyDescent="0.25">
      <c r="B39" s="15"/>
      <c r="C39" s="9" t="s">
        <v>3</v>
      </c>
      <c r="D39" s="12">
        <f t="shared" ref="D39:H39" si="12">AA24</f>
        <v>9</v>
      </c>
      <c r="E39" s="11">
        <f t="shared" si="12"/>
        <v>31</v>
      </c>
      <c r="F39" s="9">
        <f t="shared" si="12"/>
        <v>81</v>
      </c>
      <c r="G39" s="11">
        <f t="shared" si="12"/>
        <v>29</v>
      </c>
      <c r="H39" s="10">
        <f t="shared" si="12"/>
        <v>1</v>
      </c>
      <c r="J39" t="s">
        <v>22</v>
      </c>
      <c r="K39">
        <f>AB29</f>
        <v>93.21</v>
      </c>
    </row>
    <row r="40" spans="2:11" x14ac:dyDescent="0.25">
      <c r="B40" s="15"/>
      <c r="C40" s="9" t="s">
        <v>4</v>
      </c>
      <c r="D40" s="13">
        <f t="shared" ref="D40:H40" si="13">AA25</f>
        <v>0</v>
      </c>
      <c r="E40" s="12">
        <f t="shared" si="13"/>
        <v>4</v>
      </c>
      <c r="F40" s="11">
        <f t="shared" si="13"/>
        <v>8</v>
      </c>
      <c r="G40" s="9">
        <f t="shared" si="13"/>
        <v>25</v>
      </c>
      <c r="H40" s="10">
        <f t="shared" si="13"/>
        <v>0</v>
      </c>
    </row>
    <row r="41" spans="2:11" x14ac:dyDescent="0.25">
      <c r="B41" s="15"/>
      <c r="C41" s="9" t="s">
        <v>15</v>
      </c>
      <c r="D41" s="10">
        <f t="shared" ref="D41:H41" si="14">AA26</f>
        <v>1</v>
      </c>
      <c r="E41" s="10">
        <f t="shared" si="14"/>
        <v>1</v>
      </c>
      <c r="F41" s="10">
        <f t="shared" si="14"/>
        <v>2</v>
      </c>
      <c r="G41" s="10">
        <f t="shared" si="14"/>
        <v>1</v>
      </c>
      <c r="H41" s="10">
        <f t="shared" si="14"/>
        <v>22</v>
      </c>
    </row>
    <row r="42" spans="2:11" ht="18.75" x14ac:dyDescent="0.3">
      <c r="C42" s="16" t="s">
        <v>20</v>
      </c>
      <c r="D42" s="17"/>
      <c r="E42" s="17"/>
      <c r="F42" s="17"/>
      <c r="G42" s="17"/>
      <c r="H42" s="17"/>
    </row>
  </sheetData>
  <mergeCells count="9">
    <mergeCell ref="D14:H14"/>
    <mergeCell ref="B27:B31"/>
    <mergeCell ref="D25:H25"/>
    <mergeCell ref="D35:H35"/>
    <mergeCell ref="B37:B41"/>
    <mergeCell ref="C21:H21"/>
    <mergeCell ref="C32:H32"/>
    <mergeCell ref="C42:H42"/>
    <mergeCell ref="B16:B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tResults">
                <anchor moveWithCells="1">
                  <from>
                    <xdr:col>7</xdr:col>
                    <xdr:colOff>161925</xdr:colOff>
                    <xdr:row>5</xdr:row>
                    <xdr:rowOff>76200</xdr:rowOff>
                  </from>
                  <to>
                    <xdr:col>7</xdr:col>
                    <xdr:colOff>638175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4:J14"/>
  <sheetViews>
    <sheetView workbookViewId="0">
      <selection activeCell="I12" sqref="I12"/>
    </sheetView>
  </sheetViews>
  <sheetFormatPr defaultRowHeight="15" x14ac:dyDescent="0.25"/>
  <sheetData>
    <row r="4" spans="4:10" x14ac:dyDescent="0.25">
      <c r="E4">
        <v>1</v>
      </c>
      <c r="F4">
        <v>2</v>
      </c>
      <c r="G4">
        <v>3</v>
      </c>
      <c r="H4">
        <v>4</v>
      </c>
      <c r="J4" t="s">
        <v>9</v>
      </c>
    </row>
    <row r="5" spans="4:10" x14ac:dyDescent="0.25">
      <c r="D5">
        <v>1</v>
      </c>
    </row>
    <row r="6" spans="4:10" x14ac:dyDescent="0.25">
      <c r="D6">
        <v>2</v>
      </c>
    </row>
    <row r="7" spans="4:10" x14ac:dyDescent="0.25">
      <c r="D7">
        <v>3</v>
      </c>
    </row>
    <row r="8" spans="4:10" x14ac:dyDescent="0.25">
      <c r="D8">
        <v>4</v>
      </c>
    </row>
    <row r="11" spans="4:10" x14ac:dyDescent="0.25">
      <c r="D11" t="s">
        <v>8</v>
      </c>
    </row>
    <row r="13" spans="4:10" x14ac:dyDescent="0.25">
      <c r="D13" t="s">
        <v>10</v>
      </c>
    </row>
    <row r="14" spans="4:10" x14ac:dyDescent="0.25">
      <c r="D14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impact</vt:lpstr>
      <vt:lpstr>correlation</vt:lpstr>
      <vt:lpstr>Sheet3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dcterms:created xsi:type="dcterms:W3CDTF">2013-09-23T21:15:14Z</dcterms:created>
  <dcterms:modified xsi:type="dcterms:W3CDTF">2014-10-16T21:35:33Z</dcterms:modified>
</cp:coreProperties>
</file>
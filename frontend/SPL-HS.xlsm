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5"/>
  </bookViews>
  <sheets>
    <sheet name="parameters" sheetId="19" r:id="rId1"/>
    <sheet name="indeces" sheetId="21" r:id="rId2"/>
    <sheet name="grad rate" sheetId="22" r:id="rId3"/>
    <sheet name="matrix" sheetId="18" r:id="rId4"/>
    <sheet name="impact" sheetId="17" r:id="rId5"/>
    <sheet name="WY" sheetId="20" r:id="rId6"/>
  </sheets>
  <calcPr calcId="152511"/>
</workbook>
</file>

<file path=xl/calcChain.xml><?xml version="1.0" encoding="utf-8"?>
<calcChain xmlns="http://schemas.openxmlformats.org/spreadsheetml/2006/main">
  <c r="K18" i="17" l="1"/>
  <c r="J18" i="17"/>
  <c r="I18" i="17"/>
  <c r="K17" i="17"/>
  <c r="J17" i="17"/>
  <c r="I17" i="17"/>
  <c r="K16" i="17"/>
  <c r="J16" i="17"/>
  <c r="I16" i="17"/>
  <c r="K15" i="17"/>
  <c r="J15" i="17"/>
  <c r="I15" i="17"/>
  <c r="K14" i="17"/>
  <c r="J14" i="17"/>
  <c r="I14" i="17"/>
  <c r="K13" i="17"/>
  <c r="J13" i="17"/>
  <c r="I13" i="17"/>
  <c r="K10" i="17"/>
  <c r="J10" i="17"/>
  <c r="I10" i="17"/>
  <c r="AC7" i="21"/>
  <c r="AB7" i="21"/>
  <c r="AA7" i="21"/>
  <c r="AE6" i="21"/>
  <c r="AD6" i="21"/>
  <c r="AC6" i="21"/>
  <c r="AB6" i="21"/>
  <c r="AA6" i="21"/>
  <c r="AD5" i="21"/>
  <c r="AC5" i="21"/>
  <c r="AB5" i="21"/>
  <c r="AA5" i="21"/>
  <c r="E7" i="20"/>
  <c r="E8" i="20"/>
  <c r="D7" i="20" l="1"/>
  <c r="E6" i="20"/>
  <c r="D6" i="20"/>
  <c r="K9" i="17"/>
  <c r="L9" i="17" s="1"/>
  <c r="J9" i="17"/>
  <c r="I9" i="17"/>
  <c r="K8" i="17"/>
  <c r="L8" i="17" s="1"/>
  <c r="J8" i="17"/>
  <c r="I8" i="17"/>
  <c r="K7" i="17"/>
  <c r="L7" i="17" s="1"/>
  <c r="J7" i="17"/>
  <c r="I7" i="17"/>
  <c r="K6" i="17"/>
  <c r="L6" i="17" s="1"/>
  <c r="J6" i="17"/>
  <c r="I6" i="17"/>
  <c r="K5" i="17"/>
  <c r="L5" i="17" s="1"/>
  <c r="J5" i="17"/>
  <c r="I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<sst xmlns="http://schemas.openxmlformats.org/spreadsheetml/2006/main" count="176" uniqueCount="123">
  <si>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</si>
  <si>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</si>
  <si>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</si>
  <si>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</si>
  <si>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</si>
  <si>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</si>
  <si>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</si>
  <si>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</si>
  <si>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</si>
  <si>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</si>
  <si>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</si>
  <si>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</si>
  <si>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</si>
  <si>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</si>
  <si>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</si>
  <si>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</si>
  <si>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</si>
  <si>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</si>
  <si>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</si>
  <si>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</si>
  <si>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</si>
  <si>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</si>
  <si>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</si>
  <si>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</si>
  <si>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</si>
  <si>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</si>
  <si>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</si>
  <si>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</si>
  <si>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</si>
  <si>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</si>
  <si>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</si>
  <si>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</si>
  <si>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</si>
  <si>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</si>
  <si>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</si>
  <si>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</si>
  <si>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</si>
  <si>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</si>
  <si>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</si>
  <si>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</si>
  <si>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</si>
  <si>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</si>
  <si>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</si>
  <si>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</si>
  <si>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</si>
  <si>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ENROLLMENT</t>
  </si>
  <si>
    <t>sum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</si>
  <si>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</si>
  <si>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</si>
  <si>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</si>
  <si>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</si>
  <si>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</si>
  <si>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</si>
  <si>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</si>
  <si>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</si>
  <si>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</si>
  <si>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</si>
  <si>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</si>
  <si>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</si>
  <si>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</si>
  <si>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</si>
  <si>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</si>
  <si>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</si>
  <si>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</si>
  <si>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</si>
  <si>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</si>
  <si>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</si>
  <si>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</si>
  <si>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</si>
  <si>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</si>
  <si>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</si>
  <si>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</si>
  <si>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</si>
  <si>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</si>
  <si>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</si>
  <si>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</si>
  <si>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</si>
  <si>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</si>
  <si>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</si>
  <si>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</si>
  <si>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</si>
  <si>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</si>
  <si>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</si>
  <si>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</si>
  <si>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</si>
  <si>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</si>
  <si>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</si>
  <si>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</si>
  <si>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</si>
  <si>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</si>
  <si>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</si>
  <si>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</si>
  <si>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</si>
  <si>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column percentage</t>
  </si>
  <si>
    <t>Graduation Rate Category</t>
  </si>
  <si>
    <t>Alternative Schools Excluded</t>
  </si>
  <si>
    <t>Alternative Schools Only</t>
  </si>
  <si>
    <t>4-year on-time, Before Improvement Applied</t>
  </si>
  <si>
    <t>23 (34%)</t>
  </si>
  <si>
    <t>14 (93%)</t>
  </si>
  <si>
    <t>37 (45%)</t>
  </si>
  <si>
    <t>20 (29%)</t>
  </si>
  <si>
    <t>0 (0%)</t>
  </si>
  <si>
    <t>20 (24%)</t>
  </si>
  <si>
    <t>25 (37%)</t>
  </si>
  <si>
    <t>1 (7%)</t>
  </si>
  <si>
    <t>26 (31%)</t>
  </si>
  <si>
    <t>Extended Rate</t>
  </si>
  <si>
    <t>22 (32%)</t>
  </si>
  <si>
    <t>36 (43%)</t>
  </si>
  <si>
    <t>21 (31%)</t>
  </si>
  <si>
    <t>21 (25%)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</si>
  <si>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</si>
  <si>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17 (27%)</t>
  </si>
  <si>
    <t>11 (86%)</t>
  </si>
  <si>
    <t>28 (36%)</t>
  </si>
  <si>
    <t>16 (25%)</t>
  </si>
  <si>
    <t>3 (14%)</t>
  </si>
  <si>
    <t>19 (25%)</t>
  </si>
  <si>
    <t>30 (48%)</t>
  </si>
  <si>
    <t>30 (39%)</t>
  </si>
  <si>
    <t>Overall Readiness</t>
  </si>
  <si>
    <t>Academic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</si>
</sst>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1" fillId="0" borderId="0" xfId="0" applyFont="1" applyAlignment="1">
      <alignment horizontal="left" wrapText="1"/>
    </xf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0" fillId="0" borderId="12" xfId="0" applyBorder="1" applyAlignment="1"/>
    <xf numFmtId="0" fontId="0" fillId="0" borderId="10" xfId="0" applyBorder="1" applyAlignment="1"/>
  </cellXfs>
  <cellStyles count="1">
    <cellStyle name="Normal" xfId="0" builtinId="0"/>
  </cellStyles>
  <dxfs count="1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</xdr:row>
          <xdr:rowOff>180975</xdr:rowOff>
        </xdr:from>
        <xdr:to>
          <xdr:col>7</xdr:col>
          <xdr:colOff>1466</xdr:colOff>
          <xdr:row>6</xdr:row>
          <xdr:rowOff>2198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zoomScale="130" zoomScaleNormal="130" workbookViewId="0">
      <selection activeCell="C5" sqref="C5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28</v>
      </c>
      <c r="E5" s="12">
        <v>38</v>
      </c>
    </row>
    <row r="6" spans="3:5" ht="15.75" thickBot="1" x14ac:dyDescent="0.3">
      <c r="C6" s="14" t="s">
        <v>53</v>
      </c>
      <c r="D6" s="10">
        <v>121</v>
      </c>
      <c r="E6" s="12">
        <v>126</v>
      </c>
    </row>
    <row r="7" spans="3:5" ht="15.75" thickBot="1" x14ac:dyDescent="0.3">
      <c r="C7" s="14" t="s">
        <v>55</v>
      </c>
      <c r="D7" s="10">
        <v>80</v>
      </c>
      <c r="E7" s="12">
        <v>90</v>
      </c>
    </row>
    <row r="8" spans="3:5" ht="15.75" thickBot="1" x14ac:dyDescent="0.3">
      <c r="C8" s="14" t="s">
        <v>54</v>
      </c>
      <c r="D8" s="10">
        <v>58</v>
      </c>
      <c r="E8" s="1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F1" zoomScale="130" zoomScaleNormal="130" workbookViewId="0">
      <selection activeCell="D15" sqref="D15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8" t="s">
        <v>61</v>
      </c>
      <c r="D1" s="25" t="s">
        <v>62</v>
      </c>
      <c r="E1" s="25" t="s">
        <v>63</v>
      </c>
      <c r="F1" s="25" t="s">
        <v>64</v>
      </c>
      <c r="G1" s="25" t="s">
        <v>65</v>
      </c>
    </row>
    <row r="2" spans="3:31" ht="15.75" thickBot="1" x14ac:dyDescent="0.3">
      <c r="C2" s="28" t="s">
        <v>60</v>
      </c>
      <c r="D2" s="25" t="s">
        <v>36</v>
      </c>
      <c r="E2" s="25" t="s">
        <v>57</v>
      </c>
      <c r="F2" s="25" t="s">
        <v>37</v>
      </c>
      <c r="G2" s="25" t="s">
        <v>38</v>
      </c>
    </row>
    <row r="3" spans="3:31" ht="15.75" thickBot="1" x14ac:dyDescent="0.3">
      <c r="C3" s="28" t="s">
        <v>59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8" t="s">
        <v>58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56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20</v>
      </c>
      <c r="AB6">
        <f>E9</f>
        <v>40</v>
      </c>
      <c r="AC6">
        <f>F9</f>
        <v>60</v>
      </c>
      <c r="AD6">
        <f>G9</f>
        <v>80</v>
      </c>
      <c r="AE6">
        <f>H9</f>
        <v>100</v>
      </c>
    </row>
    <row r="7" spans="3:31" ht="15.75" thickBot="1" x14ac:dyDescent="0.3">
      <c r="AA7" s="30">
        <f>D12</f>
        <v>0.35</v>
      </c>
      <c r="AB7" s="30">
        <f>E12</f>
        <v>0.15</v>
      </c>
      <c r="AC7" s="30">
        <f>F12</f>
        <v>0.5</v>
      </c>
    </row>
    <row r="8" spans="3:31" ht="15.75" thickBot="1" x14ac:dyDescent="0.3">
      <c r="D8" s="25" t="s">
        <v>48</v>
      </c>
      <c r="E8" s="25" t="s">
        <v>49</v>
      </c>
      <c r="F8" s="25" t="s">
        <v>50</v>
      </c>
      <c r="G8" s="25" t="s">
        <v>51</v>
      </c>
      <c r="H8" s="25" t="s">
        <v>52</v>
      </c>
    </row>
    <row r="9" spans="3:31" ht="15.75" thickBot="1" x14ac:dyDescent="0.3">
      <c r="C9" s="15" t="s">
        <v>47</v>
      </c>
      <c r="D9" s="26">
        <v>20</v>
      </c>
      <c r="E9" s="26">
        <v>40</v>
      </c>
      <c r="F9" s="26">
        <v>60</v>
      </c>
      <c r="G9" s="26">
        <v>80</v>
      </c>
      <c r="H9" s="26">
        <v>100</v>
      </c>
    </row>
    <row r="10" spans="3:31" ht="15.75" thickBot="1" x14ac:dyDescent="0.3"/>
    <row r="11" spans="3:31" ht="15.75" thickBot="1" x14ac:dyDescent="0.3">
      <c r="D11" s="25" t="s">
        <v>67</v>
      </c>
      <c r="E11" s="25" t="s">
        <v>68</v>
      </c>
      <c r="F11" s="25" t="s">
        <v>47</v>
      </c>
    </row>
    <row r="12" spans="3:31" ht="15.75" thickBot="1" x14ac:dyDescent="0.3">
      <c r="C12" s="15" t="s">
        <v>66</v>
      </c>
      <c r="D12" s="29">
        <v>0.35</v>
      </c>
      <c r="E12" s="29">
        <v>0.15</v>
      </c>
      <c r="F12" s="29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E16"/>
  <sheetViews>
    <sheetView topLeftCell="A4" workbookViewId="0">
      <selection activeCell="H8" sqref="H8"/>
    </sheetView>
  </sheetViews>
  <sheetFormatPr defaultRowHeight="15" x14ac:dyDescent="0.25"/>
  <cols>
    <col min="2" max="2" width="24" customWidth="1"/>
    <col min="3" max="3" width="20" customWidth="1"/>
    <col min="4" max="4" width="22.42578125" customWidth="1"/>
    <col min="5" max="5" width="27.28515625" customWidth="1"/>
  </cols>
  <sheetData>
    <row r="3" spans="2:5" ht="15.75" thickBot="1" x14ac:dyDescent="0.3"/>
    <row r="4" spans="2:5" ht="60.75" thickBot="1" x14ac:dyDescent="0.3">
      <c r="B4" s="33" t="s">
        <v>94</v>
      </c>
      <c r="C4" s="34" t="s">
        <v>95</v>
      </c>
      <c r="D4" s="34" t="s">
        <v>96</v>
      </c>
      <c r="E4" s="34" t="s">
        <v>90</v>
      </c>
    </row>
    <row r="5" spans="2:5" ht="30" customHeight="1" thickBot="1" x14ac:dyDescent="0.3">
      <c r="B5" s="37" t="s">
        <v>97</v>
      </c>
      <c r="C5" s="38"/>
      <c r="D5" s="38"/>
      <c r="E5" s="39"/>
    </row>
    <row r="6" spans="2:5" ht="30.75" thickBot="1" x14ac:dyDescent="0.3">
      <c r="B6" s="35" t="s">
        <v>5</v>
      </c>
      <c r="C6" s="36" t="s">
        <v>98</v>
      </c>
      <c r="D6" s="36" t="s">
        <v>99</v>
      </c>
      <c r="E6" s="36" t="s">
        <v>100</v>
      </c>
    </row>
    <row r="7" spans="2:5" ht="15.75" thickBot="1" x14ac:dyDescent="0.3">
      <c r="B7" s="35" t="s">
        <v>3</v>
      </c>
      <c r="C7" s="36" t="s">
        <v>101</v>
      </c>
      <c r="D7" s="36" t="s">
        <v>102</v>
      </c>
      <c r="E7" s="36" t="s">
        <v>103</v>
      </c>
    </row>
    <row r="8" spans="2:5" ht="30.75" thickBot="1" x14ac:dyDescent="0.3">
      <c r="B8" s="35" t="s">
        <v>2</v>
      </c>
      <c r="C8" s="36" t="s">
        <v>104</v>
      </c>
      <c r="D8" s="36" t="s">
        <v>105</v>
      </c>
      <c r="E8" s="36" t="s">
        <v>106</v>
      </c>
    </row>
    <row r="9" spans="2:5" ht="15.75" thickBot="1" x14ac:dyDescent="0.3">
      <c r="B9" s="37" t="s">
        <v>107</v>
      </c>
      <c r="C9" s="38"/>
      <c r="D9" s="38"/>
      <c r="E9" s="39"/>
    </row>
    <row r="10" spans="2:5" ht="30.75" thickBot="1" x14ac:dyDescent="0.3">
      <c r="B10" s="35" t="s">
        <v>5</v>
      </c>
      <c r="C10" s="36" t="s">
        <v>108</v>
      </c>
      <c r="D10" s="36" t="s">
        <v>99</v>
      </c>
      <c r="E10" s="36" t="s">
        <v>109</v>
      </c>
    </row>
    <row r="11" spans="2:5" ht="15.75" thickBot="1" x14ac:dyDescent="0.3">
      <c r="B11" s="35" t="s">
        <v>3</v>
      </c>
      <c r="C11" s="36" t="s">
        <v>110</v>
      </c>
      <c r="D11" s="36" t="s">
        <v>102</v>
      </c>
      <c r="E11" s="36" t="s">
        <v>111</v>
      </c>
    </row>
    <row r="12" spans="2:5" ht="30.75" thickBot="1" x14ac:dyDescent="0.3">
      <c r="B12" s="35" t="s">
        <v>2</v>
      </c>
      <c r="C12" s="36" t="s">
        <v>104</v>
      </c>
      <c r="D12" s="36" t="s">
        <v>105</v>
      </c>
      <c r="E12" s="36" t="s">
        <v>106</v>
      </c>
    </row>
    <row r="13" spans="2:5" ht="30" customHeight="1" thickBot="1" x14ac:dyDescent="0.3">
      <c r="B13" s="37" t="s">
        <v>112</v>
      </c>
      <c r="C13" s="38"/>
      <c r="D13" s="38"/>
      <c r="E13" s="39"/>
    </row>
    <row r="14" spans="2:5" ht="30.75" thickBot="1" x14ac:dyDescent="0.3">
      <c r="B14" s="35" t="s">
        <v>5</v>
      </c>
      <c r="C14" s="36" t="s">
        <v>113</v>
      </c>
      <c r="D14" s="36" t="s">
        <v>114</v>
      </c>
      <c r="E14" s="36" t="s">
        <v>115</v>
      </c>
    </row>
    <row r="15" spans="2:5" ht="15.75" thickBot="1" x14ac:dyDescent="0.3">
      <c r="B15" s="35" t="s">
        <v>3</v>
      </c>
      <c r="C15" s="36" t="s">
        <v>116</v>
      </c>
      <c r="D15" s="36" t="s">
        <v>117</v>
      </c>
      <c r="E15" s="36" t="s">
        <v>118</v>
      </c>
    </row>
    <row r="16" spans="2:5" ht="30.75" thickBot="1" x14ac:dyDescent="0.3">
      <c r="B16" s="35" t="s">
        <v>2</v>
      </c>
      <c r="C16" s="36" t="s">
        <v>119</v>
      </c>
      <c r="D16" s="36" t="s">
        <v>102</v>
      </c>
      <c r="E16" s="36" t="s">
        <v>120</v>
      </c>
    </row>
  </sheetData>
  <mergeCells count="3">
    <mergeCell ref="B5:E5"/>
    <mergeCell ref="B9:E9"/>
    <mergeCell ref="B13:E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zoomScale="110" zoomScaleNormal="110" workbookViewId="0">
      <selection activeCell="A4" sqref="A4:F22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27"/>
      <c r="C2" s="27"/>
      <c r="D2" s="27"/>
      <c r="E2" s="27"/>
      <c r="F2" s="27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3" t="s">
        <v>72</v>
      </c>
      <c r="D4" s="3" t="s">
        <v>73</v>
      </c>
      <c r="E4" s="3" t="s">
        <v>74</v>
      </c>
      <c r="F4" s="3" t="s">
        <v>76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69</v>
      </c>
      <c r="C5" s="4">
        <v>1</v>
      </c>
      <c r="D5" s="4">
        <v>1</v>
      </c>
      <c r="E5" s="4">
        <v>1</v>
      </c>
      <c r="F5" s="4">
        <v>1</v>
      </c>
      <c r="AA5">
        <f>D5</f>
        <v>1</v>
      </c>
      <c r="AB5">
        <f t="shared" ref="AB5:AB13" si="0">E5</f>
        <v>1</v>
      </c>
      <c r="AC5">
        <f t="shared" ref="AC5:AC13" si="1">F5</f>
        <v>1</v>
      </c>
    </row>
    <row r="6" spans="2:29" ht="15.75" thickBot="1" x14ac:dyDescent="0.3">
      <c r="B6" s="5" t="s">
        <v>70</v>
      </c>
      <c r="C6" s="4">
        <v>1</v>
      </c>
      <c r="D6" s="4">
        <v>2</v>
      </c>
      <c r="E6" s="4">
        <v>2</v>
      </c>
      <c r="F6" s="4">
        <v>2</v>
      </c>
      <c r="AA6">
        <f t="shared" ref="AA6:AA13" si="2">D6</f>
        <v>2</v>
      </c>
      <c r="AB6">
        <f t="shared" si="0"/>
        <v>2</v>
      </c>
      <c r="AC6">
        <f t="shared" si="1"/>
        <v>2</v>
      </c>
    </row>
    <row r="7" spans="2:29" ht="15.75" thickBot="1" x14ac:dyDescent="0.3">
      <c r="B7" s="6" t="s">
        <v>71</v>
      </c>
      <c r="C7" s="4">
        <v>1</v>
      </c>
      <c r="D7" s="4">
        <v>2</v>
      </c>
      <c r="E7" s="4">
        <v>3</v>
      </c>
      <c r="F7" s="4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ht="15.75" thickBot="1" x14ac:dyDescent="0.3">
      <c r="B8" s="6" t="s">
        <v>75</v>
      </c>
      <c r="C8" s="4">
        <v>1</v>
      </c>
      <c r="D8" s="4">
        <v>2</v>
      </c>
      <c r="E8" s="4">
        <v>3</v>
      </c>
      <c r="F8" s="4"/>
      <c r="AA8">
        <f t="shared" si="2"/>
        <v>2</v>
      </c>
      <c r="AB8">
        <f t="shared" si="0"/>
        <v>3</v>
      </c>
      <c r="AC8">
        <f t="shared" si="1"/>
        <v>0</v>
      </c>
    </row>
    <row r="9" spans="2:29" x14ac:dyDescent="0.25">
      <c r="AA9">
        <f t="shared" si="2"/>
        <v>0</v>
      </c>
      <c r="AB9">
        <f t="shared" si="0"/>
        <v>0</v>
      </c>
      <c r="AC9">
        <f t="shared" si="1"/>
        <v>0</v>
      </c>
    </row>
    <row r="10" spans="2:29" ht="15.75" thickBot="1" x14ac:dyDescent="0.3">
      <c r="AA10">
        <f t="shared" si="2"/>
        <v>0</v>
      </c>
      <c r="AB10">
        <f t="shared" si="0"/>
        <v>0</v>
      </c>
      <c r="AC10">
        <f t="shared" si="1"/>
        <v>0</v>
      </c>
    </row>
    <row r="11" spans="2:29" ht="15.75" thickBot="1" x14ac:dyDescent="0.3">
      <c r="B11" s="2"/>
      <c r="C11" s="3" t="s">
        <v>9</v>
      </c>
      <c r="D11" s="3" t="s">
        <v>10</v>
      </c>
      <c r="E11" s="3" t="s">
        <v>11</v>
      </c>
      <c r="F11" s="3" t="s">
        <v>78</v>
      </c>
      <c r="AA11" t="str">
        <f t="shared" si="2"/>
        <v>Equity Meeting</v>
      </c>
      <c r="AB11" t="str">
        <f t="shared" si="0"/>
        <v>Equity Exceeding</v>
      </c>
      <c r="AC11" t="str">
        <f t="shared" si="1"/>
        <v>Equity Undefined</v>
      </c>
    </row>
    <row r="12" spans="2:29" ht="15.75" thickBot="1" x14ac:dyDescent="0.3">
      <c r="B12" s="4" t="s">
        <v>6</v>
      </c>
      <c r="C12" s="4">
        <v>1</v>
      </c>
      <c r="D12" s="4">
        <v>1</v>
      </c>
      <c r="E12" s="4">
        <v>1</v>
      </c>
      <c r="F12" s="4">
        <v>1</v>
      </c>
      <c r="AA12">
        <f t="shared" si="2"/>
        <v>1</v>
      </c>
      <c r="AB12">
        <f t="shared" si="0"/>
        <v>1</v>
      </c>
      <c r="AC12">
        <f t="shared" si="1"/>
        <v>1</v>
      </c>
    </row>
    <row r="13" spans="2:29" ht="15.75" thickBot="1" x14ac:dyDescent="0.3">
      <c r="B13" s="5" t="s">
        <v>7</v>
      </c>
      <c r="C13" s="4">
        <v>1</v>
      </c>
      <c r="D13" s="4">
        <v>2</v>
      </c>
      <c r="E13" s="4">
        <v>2</v>
      </c>
      <c r="F13" s="4">
        <v>2</v>
      </c>
      <c r="AA13">
        <f t="shared" si="2"/>
        <v>2</v>
      </c>
      <c r="AB13">
        <f t="shared" si="0"/>
        <v>2</v>
      </c>
      <c r="AC13">
        <f t="shared" si="1"/>
        <v>2</v>
      </c>
    </row>
    <row r="14" spans="2:29" ht="15.75" thickBot="1" x14ac:dyDescent="0.3">
      <c r="B14" s="6" t="s">
        <v>8</v>
      </c>
      <c r="C14" s="4">
        <v>1</v>
      </c>
      <c r="D14" s="4">
        <v>2</v>
      </c>
      <c r="E14" s="4">
        <v>3</v>
      </c>
      <c r="F14" s="4">
        <v>3</v>
      </c>
      <c r="AA14">
        <f t="shared" ref="AA14:AC16" si="3">D19</f>
        <v>2</v>
      </c>
      <c r="AB14">
        <f t="shared" si="3"/>
        <v>2</v>
      </c>
      <c r="AC14">
        <f t="shared" si="3"/>
        <v>0</v>
      </c>
    </row>
    <row r="15" spans="2:29" ht="15.75" thickBot="1" x14ac:dyDescent="0.3">
      <c r="B15" s="6" t="s">
        <v>77</v>
      </c>
      <c r="C15" s="4">
        <v>1</v>
      </c>
      <c r="D15" s="4">
        <v>2</v>
      </c>
      <c r="E15" s="4">
        <v>3</v>
      </c>
      <c r="F15" s="4"/>
      <c r="AA15">
        <f t="shared" si="3"/>
        <v>3</v>
      </c>
      <c r="AB15">
        <f t="shared" si="3"/>
        <v>3</v>
      </c>
      <c r="AC15">
        <f t="shared" si="3"/>
        <v>0</v>
      </c>
    </row>
    <row r="16" spans="2:29" x14ac:dyDescent="0.25">
      <c r="AA16">
        <f t="shared" si="3"/>
        <v>3</v>
      </c>
      <c r="AB16">
        <f t="shared" si="3"/>
        <v>4</v>
      </c>
      <c r="AC16">
        <f t="shared" si="3"/>
        <v>0</v>
      </c>
    </row>
    <row r="17" spans="2:27" ht="15.75" thickBot="1" x14ac:dyDescent="0.3">
      <c r="C17" s="1"/>
      <c r="D17" s="1"/>
      <c r="E17" s="1"/>
      <c r="F17" s="1"/>
    </row>
    <row r="18" spans="2:27" ht="30.75" thickBot="1" x14ac:dyDescent="0.3">
      <c r="B18" s="2"/>
      <c r="C18" s="3" t="s">
        <v>82</v>
      </c>
      <c r="D18" s="3" t="s">
        <v>83</v>
      </c>
      <c r="E18" s="3" t="s">
        <v>84</v>
      </c>
    </row>
    <row r="19" spans="2:27" ht="15.75" thickBot="1" x14ac:dyDescent="0.3">
      <c r="B19" s="4" t="s">
        <v>79</v>
      </c>
      <c r="C19" s="4">
        <v>1</v>
      </c>
      <c r="D19" s="4">
        <v>2</v>
      </c>
      <c r="E19" s="4">
        <v>2</v>
      </c>
      <c r="Y19" t="s">
        <v>45</v>
      </c>
      <c r="Z19" t="s">
        <v>46</v>
      </c>
      <c r="AA19">
        <v>0</v>
      </c>
    </row>
    <row r="20" spans="2:27" ht="15.75" thickBot="1" x14ac:dyDescent="0.3">
      <c r="B20" s="5" t="s">
        <v>80</v>
      </c>
      <c r="C20" s="4">
        <v>2</v>
      </c>
      <c r="D20" s="4">
        <v>3</v>
      </c>
      <c r="E20" s="4">
        <v>3</v>
      </c>
    </row>
    <row r="21" spans="2:27" ht="15.75" thickBot="1" x14ac:dyDescent="0.3">
      <c r="B21" s="6" t="s">
        <v>81</v>
      </c>
      <c r="C21" s="4">
        <v>2</v>
      </c>
      <c r="D21" s="4">
        <v>3</v>
      </c>
      <c r="E21" s="4">
        <v>4</v>
      </c>
    </row>
  </sheetData>
  <mergeCells count="1">
    <mergeCell ref="B2:F2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107" priority="64">
      <formula>D6=4</formula>
    </cfRule>
    <cfRule type="expression" dxfId="106" priority="65">
      <formula>D6=3</formula>
    </cfRule>
    <cfRule type="expression" dxfId="105" priority="66">
      <formula>D6=2</formula>
    </cfRule>
    <cfRule type="expression" dxfId="104" priority="67">
      <formula>D6=1</formula>
    </cfRule>
  </conditionalFormatting>
  <conditionalFormatting sqref="C19:E21">
    <cfRule type="expression" dxfId="103" priority="1">
      <formula>C19=4</formula>
    </cfRule>
    <cfRule type="expression" dxfId="102" priority="2">
      <formula>C19=3</formula>
    </cfRule>
    <cfRule type="expression" dxfId="101" priority="3">
      <formula>C19=2</formula>
    </cfRule>
    <cfRule type="expression" dxfId="100" priority="4">
      <formula>C19=1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99" priority="55">
      <formula>C5=4</formula>
    </cfRule>
    <cfRule type="expression" dxfId="98" priority="56">
      <formula>C5=3</formula>
    </cfRule>
    <cfRule type="expression" dxfId="97" priority="57">
      <formula>C5=2</formula>
    </cfRule>
    <cfRule type="expression" dxfId="96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95" priority="50">
      <formula>C8=4</formula>
    </cfRule>
    <cfRule type="expression" dxfId="94" priority="51">
      <formula>C8=3</formula>
    </cfRule>
    <cfRule type="expression" dxfId="93" priority="52">
      <formula>C8=2</formula>
    </cfRule>
    <cfRule type="expression" dxfId="92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91" priority="45">
      <formula>D8=4</formula>
    </cfRule>
    <cfRule type="expression" dxfId="90" priority="46">
      <formula>D8=3</formula>
    </cfRule>
    <cfRule type="expression" dxfId="89" priority="47">
      <formula>D8=2</formula>
    </cfRule>
    <cfRule type="expression" dxfId="88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87" priority="40">
      <formula>E8=4</formula>
    </cfRule>
    <cfRule type="expression" dxfId="86" priority="41">
      <formula>E8=3</formula>
    </cfRule>
    <cfRule type="expression" dxfId="85" priority="42">
      <formula>E8=2</formula>
    </cfRule>
    <cfRule type="expression" dxfId="84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83" priority="35">
      <formula>F5=4</formula>
    </cfRule>
    <cfRule type="expression" dxfId="82" priority="36">
      <formula>F5=3</formula>
    </cfRule>
    <cfRule type="expression" dxfId="81" priority="37">
      <formula>F5=2</formula>
    </cfRule>
    <cfRule type="expression" dxfId="80" priority="38">
      <formula>F5=1</formula>
    </cfRule>
  </conditionalFormatting>
  <conditionalFormatting sqref="F13:F15">
    <cfRule type="expression" dxfId="79" priority="31">
      <formula>F13=4</formula>
    </cfRule>
    <cfRule type="expression" dxfId="78" priority="32">
      <formula>F13=3</formula>
    </cfRule>
    <cfRule type="expression" dxfId="77" priority="33">
      <formula>F13=2</formula>
    </cfRule>
    <cfRule type="expression" dxfId="76" priority="34">
      <formula>F13=1</formula>
    </cfRule>
  </conditionalFormatting>
  <conditionalFormatting sqref="C12:E1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E14">
    <cfRule type="expression" dxfId="75" priority="26">
      <formula>C12=4</formula>
    </cfRule>
    <cfRule type="expression" dxfId="74" priority="27">
      <formula>C12=3</formula>
    </cfRule>
    <cfRule type="expression" dxfId="73" priority="28">
      <formula>C12=2</formula>
    </cfRule>
    <cfRule type="expression" dxfId="72" priority="29">
      <formula>C12=1</formula>
    </cfRule>
  </conditionalFormatting>
  <conditionalFormatting sqref="C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expression" dxfId="71" priority="21">
      <formula>C15=4</formula>
    </cfRule>
    <cfRule type="expression" dxfId="70" priority="22">
      <formula>C15=3</formula>
    </cfRule>
    <cfRule type="expression" dxfId="69" priority="23">
      <formula>C15=2</formula>
    </cfRule>
    <cfRule type="expression" dxfId="68" priority="24">
      <formula>C15=1</formula>
    </cfRule>
  </conditionalFormatting>
  <conditionalFormatting sqref="D1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">
    <cfRule type="expression" dxfId="67" priority="16">
      <formula>D15=4</formula>
    </cfRule>
    <cfRule type="expression" dxfId="66" priority="17">
      <formula>D15=3</formula>
    </cfRule>
    <cfRule type="expression" dxfId="65" priority="18">
      <formula>D15=2</formula>
    </cfRule>
    <cfRule type="expression" dxfId="64" priority="19">
      <formula>D15=1</formula>
    </cfRule>
  </conditionalFormatting>
  <conditionalFormatting sqref="E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expression" dxfId="63" priority="11">
      <formula>E15=4</formula>
    </cfRule>
    <cfRule type="expression" dxfId="62" priority="12">
      <formula>E15=3</formula>
    </cfRule>
    <cfRule type="expression" dxfId="61" priority="13">
      <formula>E15=2</formula>
    </cfRule>
    <cfRule type="expression" dxfId="60" priority="14">
      <formula>E15=1</formula>
    </cfRule>
  </conditionalFormatting>
  <conditionalFormatting sqref="F12:F1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F15">
    <cfRule type="expression" dxfId="59" priority="6">
      <formula>F12=4</formula>
    </cfRule>
    <cfRule type="expression" dxfId="58" priority="7">
      <formula>F12=3</formula>
    </cfRule>
    <cfRule type="expression" dxfId="57" priority="8">
      <formula>F12=2</formula>
    </cfRule>
    <cfRule type="expression" dxfId="56" priority="9">
      <formula>F12=1</formula>
    </cfRule>
  </conditionalFormatting>
  <conditionalFormatting sqref="C19:E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I24"/>
  <sheetViews>
    <sheetView topLeftCell="G1" zoomScale="130" zoomScaleNormal="130" workbookViewId="0">
      <selection activeCell="I4" sqref="I4"/>
    </sheetView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</cols>
  <sheetData>
    <row r="2" spans="2:35" x14ac:dyDescent="0.25">
      <c r="B2" s="27"/>
      <c r="C2" s="27"/>
      <c r="D2" s="27"/>
      <c r="E2" s="27"/>
      <c r="F2" s="27"/>
    </row>
    <row r="3" spans="2:35" ht="19.5" thickBot="1" x14ac:dyDescent="0.35">
      <c r="B3" s="31" t="s">
        <v>85</v>
      </c>
      <c r="C3" s="32"/>
      <c r="D3" s="32"/>
      <c r="E3" s="32"/>
      <c r="F3" s="1"/>
    </row>
    <row r="4" spans="2:35" ht="60.75" thickBot="1" x14ac:dyDescent="0.3">
      <c r="B4" s="2"/>
      <c r="C4" s="3" t="s">
        <v>72</v>
      </c>
      <c r="D4" s="3" t="s">
        <v>73</v>
      </c>
      <c r="E4" s="3" t="s">
        <v>74</v>
      </c>
      <c r="F4" s="3" t="s">
        <v>76</v>
      </c>
      <c r="H4" s="7"/>
      <c r="I4" s="9" t="s">
        <v>88</v>
      </c>
      <c r="J4" s="9" t="s">
        <v>89</v>
      </c>
      <c r="K4" s="9" t="s">
        <v>90</v>
      </c>
      <c r="L4" s="9" t="s">
        <v>27</v>
      </c>
      <c r="AD4" s="8" t="s">
        <v>22</v>
      </c>
    </row>
    <row r="5" spans="2:35" ht="15.75" thickBot="1" x14ac:dyDescent="0.3">
      <c r="B5" s="4" t="s">
        <v>69</v>
      </c>
      <c r="C5" s="4">
        <v>1</v>
      </c>
      <c r="D5" s="4">
        <v>1</v>
      </c>
      <c r="E5" s="4">
        <v>1</v>
      </c>
      <c r="F5" s="4">
        <v>1</v>
      </c>
      <c r="H5" s="9" t="s">
        <v>5</v>
      </c>
      <c r="I5" s="10">
        <f>AE19</f>
        <v>2423</v>
      </c>
      <c r="J5" s="10">
        <f t="shared" ref="J5:K5" si="0">AH19</f>
        <v>0</v>
      </c>
      <c r="K5" s="10">
        <f t="shared" si="0"/>
        <v>3313</v>
      </c>
      <c r="L5" s="18">
        <f>K5/$AI$24</f>
        <v>0.12512746912414549</v>
      </c>
      <c r="AE5">
        <v>1237</v>
      </c>
      <c r="AF5">
        <v>0</v>
      </c>
      <c r="AG5">
        <v>0</v>
      </c>
      <c r="AH5" t="e">
        <v>#N/A</v>
      </c>
      <c r="AI5" t="e">
        <v>#N/A</v>
      </c>
    </row>
    <row r="6" spans="2:35" ht="15.75" thickBot="1" x14ac:dyDescent="0.3">
      <c r="B6" s="5" t="s">
        <v>70</v>
      </c>
      <c r="C6" s="4">
        <v>1</v>
      </c>
      <c r="D6" s="4">
        <v>2</v>
      </c>
      <c r="E6" s="4">
        <v>2</v>
      </c>
      <c r="F6" s="4">
        <v>2</v>
      </c>
      <c r="H6" s="9" t="s">
        <v>4</v>
      </c>
      <c r="I6" s="11">
        <f>AE20</f>
        <v>7873</v>
      </c>
      <c r="J6" s="11">
        <f t="shared" ref="J6:K6" si="1">AH20</f>
        <v>0</v>
      </c>
      <c r="K6" s="11">
        <f t="shared" si="1"/>
        <v>8279</v>
      </c>
      <c r="L6" s="19">
        <f>K6/$AI$24</f>
        <v>0.31268648260754617</v>
      </c>
      <c r="AE6">
        <v>525</v>
      </c>
      <c r="AF6">
        <v>2998</v>
      </c>
      <c r="AG6">
        <v>581</v>
      </c>
      <c r="AH6" t="e">
        <v>#N/A</v>
      </c>
      <c r="AI6" t="e">
        <v>#N/A</v>
      </c>
    </row>
    <row r="7" spans="2:35" ht="15.75" thickBot="1" x14ac:dyDescent="0.3">
      <c r="B7" s="6" t="s">
        <v>71</v>
      </c>
      <c r="C7" s="4">
        <v>1</v>
      </c>
      <c r="D7" s="4">
        <v>2</v>
      </c>
      <c r="E7" s="4">
        <v>3</v>
      </c>
      <c r="F7" s="4">
        <v>3</v>
      </c>
      <c r="H7" s="9" t="s">
        <v>3</v>
      </c>
      <c r="I7" s="12">
        <f>AE21</f>
        <v>11767</v>
      </c>
      <c r="J7" s="12">
        <f t="shared" ref="J7:K7" si="2">AH21</f>
        <v>0</v>
      </c>
      <c r="K7" s="12">
        <f t="shared" si="2"/>
        <v>12111</v>
      </c>
      <c r="L7" s="20">
        <f>K7/$AI$24</f>
        <v>0.45741587037806397</v>
      </c>
      <c r="AE7">
        <v>0</v>
      </c>
      <c r="AF7">
        <v>316</v>
      </c>
      <c r="AG7">
        <v>135</v>
      </c>
      <c r="AH7" t="e">
        <v>#N/A</v>
      </c>
      <c r="AI7" t="e">
        <v>#N/A</v>
      </c>
    </row>
    <row r="8" spans="2:35" ht="15.75" thickBot="1" x14ac:dyDescent="0.3">
      <c r="B8" s="6" t="s">
        <v>75</v>
      </c>
      <c r="C8" s="4">
        <v>1</v>
      </c>
      <c r="D8" s="4">
        <v>2</v>
      </c>
      <c r="E8" s="4">
        <v>3</v>
      </c>
      <c r="F8" s="4"/>
      <c r="H8" s="9" t="s">
        <v>2</v>
      </c>
      <c r="I8" s="13">
        <f>AE22</f>
        <v>2531</v>
      </c>
      <c r="J8" s="13">
        <f t="shared" ref="J8:K8" si="3">AH22</f>
        <v>0</v>
      </c>
      <c r="K8" s="13">
        <f t="shared" si="3"/>
        <v>2640</v>
      </c>
      <c r="L8" s="21">
        <f>K8/$AI$24</f>
        <v>9.9709181553801415E-2</v>
      </c>
      <c r="AE8">
        <v>1571</v>
      </c>
      <c r="AF8">
        <v>0</v>
      </c>
      <c r="AG8">
        <v>0</v>
      </c>
      <c r="AH8" t="e">
        <v>#N/A</v>
      </c>
      <c r="AI8" t="e">
        <v>#N/A</v>
      </c>
    </row>
    <row r="9" spans="2:35" ht="15.75" thickBot="1" x14ac:dyDescent="0.3">
      <c r="H9" s="9" t="s">
        <v>1</v>
      </c>
      <c r="I9" s="16">
        <f>AE23</f>
        <v>0</v>
      </c>
      <c r="J9" s="16">
        <f>AH23</f>
        <v>28</v>
      </c>
      <c r="K9" s="16">
        <f>AI23</f>
        <v>134</v>
      </c>
      <c r="L9" s="22">
        <f>K9/$AI$24</f>
        <v>5.0609963364429507E-3</v>
      </c>
      <c r="AE9">
        <v>4099</v>
      </c>
      <c r="AF9">
        <v>3355</v>
      </c>
      <c r="AG9">
        <v>148</v>
      </c>
      <c r="AH9" t="e">
        <v>#N/A</v>
      </c>
      <c r="AI9" t="e">
        <v>#N/A</v>
      </c>
    </row>
    <row r="10" spans="2:35" x14ac:dyDescent="0.25">
      <c r="I10">
        <f>AE23</f>
        <v>0</v>
      </c>
      <c r="J10">
        <f t="shared" ref="J10" si="4">AH23</f>
        <v>28</v>
      </c>
      <c r="K10">
        <f t="shared" ref="K10" si="5">AI23</f>
        <v>134</v>
      </c>
    </row>
    <row r="11" spans="2:35" ht="19.5" thickBot="1" x14ac:dyDescent="0.35">
      <c r="B11" s="31" t="s">
        <v>86</v>
      </c>
      <c r="C11" s="32"/>
      <c r="D11" s="32"/>
      <c r="E11" s="32"/>
      <c r="AE11">
        <v>0</v>
      </c>
      <c r="AF11">
        <v>900</v>
      </c>
      <c r="AG11">
        <v>909</v>
      </c>
      <c r="AH11" t="e">
        <v>#N/A</v>
      </c>
      <c r="AI11" t="e">
        <v>#N/A</v>
      </c>
    </row>
    <row r="12" spans="2:35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78</v>
      </c>
      <c r="H12" s="7"/>
      <c r="I12" s="9" t="s">
        <v>91</v>
      </c>
      <c r="J12" s="9" t="s">
        <v>92</v>
      </c>
      <c r="K12" s="9" t="s">
        <v>90</v>
      </c>
      <c r="AE12">
        <v>344</v>
      </c>
      <c r="AF12">
        <v>2403</v>
      </c>
      <c r="AG12">
        <v>0</v>
      </c>
      <c r="AH12" t="e">
        <v>#N/A</v>
      </c>
      <c r="AI12" t="e">
        <v>#N/A</v>
      </c>
    </row>
    <row r="13" spans="2:35" ht="15.75" thickBot="1" x14ac:dyDescent="0.3">
      <c r="B13" s="4" t="s">
        <v>6</v>
      </c>
      <c r="C13" s="4">
        <v>1</v>
      </c>
      <c r="D13" s="4">
        <v>1</v>
      </c>
      <c r="E13" s="4">
        <v>1</v>
      </c>
      <c r="F13" s="4">
        <v>1</v>
      </c>
      <c r="H13" s="9" t="s">
        <v>5</v>
      </c>
      <c r="I13" s="10">
        <f>AE27</f>
        <v>0</v>
      </c>
      <c r="J13" s="10">
        <f t="shared" ref="J13:J16" si="6">AH27</f>
        <v>0</v>
      </c>
      <c r="K13" s="10">
        <f t="shared" ref="K13:K16" si="7">AI27</f>
        <v>0</v>
      </c>
      <c r="AE13">
        <v>250</v>
      </c>
      <c r="AF13">
        <v>3045</v>
      </c>
      <c r="AG13">
        <v>1324</v>
      </c>
      <c r="AH13" t="e">
        <v>#N/A</v>
      </c>
      <c r="AI13" t="e">
        <v>#N/A</v>
      </c>
    </row>
    <row r="14" spans="2:35" ht="15.75" thickBot="1" x14ac:dyDescent="0.3">
      <c r="B14" s="5" t="s">
        <v>7</v>
      </c>
      <c r="C14" s="4">
        <v>1</v>
      </c>
      <c r="D14" s="4">
        <v>2</v>
      </c>
      <c r="E14" s="4">
        <v>2</v>
      </c>
      <c r="F14" s="4">
        <v>2</v>
      </c>
      <c r="H14" s="9" t="s">
        <v>4</v>
      </c>
      <c r="I14" s="11">
        <f>AE28</f>
        <v>0</v>
      </c>
      <c r="J14" s="11">
        <f t="shared" si="6"/>
        <v>0</v>
      </c>
      <c r="K14" s="11">
        <f t="shared" si="7"/>
        <v>0</v>
      </c>
      <c r="AE14">
        <v>0</v>
      </c>
      <c r="AF14">
        <v>156</v>
      </c>
      <c r="AG14">
        <v>298</v>
      </c>
      <c r="AH14" t="e">
        <v>#N/A</v>
      </c>
      <c r="AI14" t="e">
        <v>#N/A</v>
      </c>
    </row>
    <row r="15" spans="2:35" ht="15.75" thickBot="1" x14ac:dyDescent="0.3">
      <c r="B15" s="6" t="s">
        <v>8</v>
      </c>
      <c r="C15" s="4">
        <v>1</v>
      </c>
      <c r="D15" s="4">
        <v>2</v>
      </c>
      <c r="E15" s="4">
        <v>3</v>
      </c>
      <c r="F15" s="4">
        <v>3</v>
      </c>
      <c r="H15" s="9" t="s">
        <v>3</v>
      </c>
      <c r="I15" s="12">
        <f>AE29</f>
        <v>0</v>
      </c>
      <c r="J15" s="12">
        <f t="shared" si="6"/>
        <v>0</v>
      </c>
      <c r="K15" s="12">
        <f t="shared" si="7"/>
        <v>0</v>
      </c>
      <c r="AE15">
        <v>638</v>
      </c>
      <c r="AF15">
        <v>53</v>
      </c>
      <c r="AG15">
        <v>42</v>
      </c>
      <c r="AH15" t="e">
        <v>#N/A</v>
      </c>
      <c r="AI15" t="e">
        <v>#N/A</v>
      </c>
    </row>
    <row r="16" spans="2:35" ht="15.75" thickBot="1" x14ac:dyDescent="0.3">
      <c r="B16" s="6" t="s">
        <v>77</v>
      </c>
      <c r="C16" s="4">
        <v>1</v>
      </c>
      <c r="D16" s="4">
        <v>2</v>
      </c>
      <c r="E16" s="4">
        <v>3</v>
      </c>
      <c r="F16" s="4"/>
      <c r="H16" s="9" t="s">
        <v>2</v>
      </c>
      <c r="I16" s="13">
        <f>AE30</f>
        <v>0</v>
      </c>
      <c r="J16" s="13">
        <f t="shared" si="6"/>
        <v>0</v>
      </c>
      <c r="K16" s="13">
        <f t="shared" si="7"/>
        <v>0</v>
      </c>
      <c r="AE16">
        <v>399</v>
      </c>
      <c r="AF16">
        <v>216</v>
      </c>
      <c r="AG16">
        <v>0</v>
      </c>
      <c r="AH16" t="e">
        <v>#N/A</v>
      </c>
      <c r="AI16" t="e">
        <v>#N/A</v>
      </c>
    </row>
    <row r="17" spans="2:35" ht="15.75" thickBot="1" x14ac:dyDescent="0.3">
      <c r="H17" s="9" t="s">
        <v>1</v>
      </c>
      <c r="I17" s="16">
        <f>AE31</f>
        <v>0</v>
      </c>
      <c r="J17" s="16">
        <f>AH31</f>
        <v>0</v>
      </c>
      <c r="K17" s="16">
        <f>AI31</f>
        <v>0</v>
      </c>
      <c r="AE17">
        <v>47</v>
      </c>
      <c r="AF17">
        <v>245</v>
      </c>
      <c r="AG17">
        <v>109</v>
      </c>
      <c r="AH17" t="e">
        <v>#N/A</v>
      </c>
      <c r="AI17" t="e">
        <v>#N/A</v>
      </c>
    </row>
    <row r="18" spans="2:35" x14ac:dyDescent="0.25">
      <c r="I18">
        <f>AE31</f>
        <v>0</v>
      </c>
      <c r="J18">
        <f t="shared" ref="J18" si="8">AH31</f>
        <v>0</v>
      </c>
      <c r="K18">
        <f t="shared" ref="K18" si="9">AI31</f>
        <v>0</v>
      </c>
    </row>
    <row r="19" spans="2:35" ht="19.5" thickBot="1" x14ac:dyDescent="0.35">
      <c r="B19" s="31" t="s">
        <v>87</v>
      </c>
      <c r="C19" s="32"/>
      <c r="D19" s="32"/>
      <c r="E19" s="32"/>
      <c r="F19" s="1"/>
      <c r="I19" t="s">
        <v>93</v>
      </c>
      <c r="J19" t="s">
        <v>93</v>
      </c>
      <c r="K19" t="s">
        <v>93</v>
      </c>
      <c r="AE19">
        <v>2423</v>
      </c>
      <c r="AF19">
        <v>890</v>
      </c>
      <c r="AG19">
        <v>0</v>
      </c>
      <c r="AH19">
        <v>0</v>
      </c>
      <c r="AI19">
        <v>3313</v>
      </c>
    </row>
    <row r="20" spans="2:35" ht="30.75" thickBot="1" x14ac:dyDescent="0.3">
      <c r="B20" s="2"/>
      <c r="C20" s="3" t="s">
        <v>82</v>
      </c>
      <c r="D20" s="3" t="s">
        <v>83</v>
      </c>
      <c r="E20" s="3" t="s">
        <v>84</v>
      </c>
      <c r="AE20">
        <v>7873</v>
      </c>
      <c r="AF20">
        <v>406</v>
      </c>
      <c r="AG20">
        <v>0</v>
      </c>
      <c r="AH20">
        <v>0</v>
      </c>
      <c r="AI20">
        <v>8279</v>
      </c>
    </row>
    <row r="21" spans="2:35" ht="15.75" thickBot="1" x14ac:dyDescent="0.3">
      <c r="B21" s="4" t="s">
        <v>79</v>
      </c>
      <c r="C21" s="4">
        <v>1</v>
      </c>
      <c r="D21" s="4">
        <v>2</v>
      </c>
      <c r="E21" s="4">
        <v>2</v>
      </c>
      <c r="AE21">
        <v>11767</v>
      </c>
      <c r="AF21">
        <v>344</v>
      </c>
      <c r="AG21">
        <v>0</v>
      </c>
      <c r="AH21">
        <v>0</v>
      </c>
      <c r="AI21">
        <v>12111</v>
      </c>
    </row>
    <row r="22" spans="2:35" ht="15.75" thickBot="1" x14ac:dyDescent="0.3">
      <c r="B22" s="5" t="s">
        <v>80</v>
      </c>
      <c r="C22" s="4">
        <v>2</v>
      </c>
      <c r="D22" s="4">
        <v>3</v>
      </c>
      <c r="E22" s="4">
        <v>3</v>
      </c>
      <c r="AE22">
        <v>2531</v>
      </c>
      <c r="AF22">
        <v>109</v>
      </c>
      <c r="AG22">
        <v>0</v>
      </c>
      <c r="AH22">
        <v>0</v>
      </c>
      <c r="AI22">
        <v>2640</v>
      </c>
    </row>
    <row r="23" spans="2:35" ht="15.75" thickBot="1" x14ac:dyDescent="0.3">
      <c r="B23" s="6" t="s">
        <v>81</v>
      </c>
      <c r="C23" s="4">
        <v>2</v>
      </c>
      <c r="D23" s="4">
        <v>3</v>
      </c>
      <c r="E23" s="4">
        <v>4</v>
      </c>
      <c r="AE23">
        <v>0</v>
      </c>
      <c r="AF23">
        <v>0</v>
      </c>
      <c r="AG23">
        <v>106</v>
      </c>
      <c r="AH23">
        <v>28</v>
      </c>
      <c r="AI23">
        <v>134</v>
      </c>
    </row>
    <row r="24" spans="2:35" x14ac:dyDescent="0.25">
      <c r="AE24">
        <v>24594</v>
      </c>
      <c r="AF24">
        <v>1749</v>
      </c>
      <c r="AG24">
        <v>106</v>
      </c>
      <c r="AH24">
        <v>28</v>
      </c>
      <c r="AI24">
        <v>26477</v>
      </c>
    </row>
  </sheetData>
  <mergeCells count="4">
    <mergeCell ref="B2:F2"/>
    <mergeCell ref="B3:E3"/>
    <mergeCell ref="B11:E11"/>
    <mergeCell ref="B19:E19"/>
  </mergeCells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F21:F2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21:F23 F6:F8 F11">
    <cfRule type="expression" dxfId="51" priority="60">
      <formula>D6=4</formula>
    </cfRule>
    <cfRule type="expression" dxfId="50" priority="61">
      <formula>D6=3</formula>
    </cfRule>
    <cfRule type="expression" dxfId="49" priority="62">
      <formula>D6=2</formula>
    </cfRule>
    <cfRule type="expression" dxfId="48" priority="63">
      <formula>D6=1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47" priority="55">
      <formula>C5=4</formula>
    </cfRule>
    <cfRule type="expression" dxfId="46" priority="56">
      <formula>C5=3</formula>
    </cfRule>
    <cfRule type="expression" dxfId="45" priority="57">
      <formula>C5=2</formula>
    </cfRule>
    <cfRule type="expression" dxfId="44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3" priority="50">
      <formula>C8=4</formula>
    </cfRule>
    <cfRule type="expression" dxfId="42" priority="51">
      <formula>C8=3</formula>
    </cfRule>
    <cfRule type="expression" dxfId="41" priority="52">
      <formula>C8=2</formula>
    </cfRule>
    <cfRule type="expression" dxfId="40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39" priority="45">
      <formula>D8=4</formula>
    </cfRule>
    <cfRule type="expression" dxfId="38" priority="46">
      <formula>D8=3</formula>
    </cfRule>
    <cfRule type="expression" dxfId="37" priority="47">
      <formula>D8=2</formula>
    </cfRule>
    <cfRule type="expression" dxfId="36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5" priority="40">
      <formula>E8=4</formula>
    </cfRule>
    <cfRule type="expression" dxfId="34" priority="41">
      <formula>E8=3</formula>
    </cfRule>
    <cfRule type="expression" dxfId="33" priority="42">
      <formula>E8=2</formula>
    </cfRule>
    <cfRule type="expression" dxfId="32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1" priority="35">
      <formula>F5=4</formula>
    </cfRule>
    <cfRule type="expression" dxfId="30" priority="36">
      <formula>F5=3</formula>
    </cfRule>
    <cfRule type="expression" dxfId="29" priority="37">
      <formula>F5=2</formula>
    </cfRule>
    <cfRule type="expression" dxfId="28" priority="38">
      <formula>F5=1</formula>
    </cfRule>
  </conditionalFormatting>
  <conditionalFormatting sqref="F14:F16">
    <cfRule type="expression" dxfId="27" priority="31">
      <formula>F14=4</formula>
    </cfRule>
    <cfRule type="expression" dxfId="26" priority="32">
      <formula>F14=3</formula>
    </cfRule>
    <cfRule type="expression" dxfId="25" priority="33">
      <formula>F14=2</formula>
    </cfRule>
    <cfRule type="expression" dxfId="24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3" priority="26">
      <formula>C13=4</formula>
    </cfRule>
    <cfRule type="expression" dxfId="22" priority="27">
      <formula>C13=3</formula>
    </cfRule>
    <cfRule type="expression" dxfId="21" priority="28">
      <formula>C13=2</formula>
    </cfRule>
    <cfRule type="expression" dxfId="20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19" priority="21">
      <formula>C16=4</formula>
    </cfRule>
    <cfRule type="expression" dxfId="18" priority="22">
      <formula>C16=3</formula>
    </cfRule>
    <cfRule type="expression" dxfId="17" priority="23">
      <formula>C16=2</formula>
    </cfRule>
    <cfRule type="expression" dxfId="16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5" priority="16">
      <formula>D16=4</formula>
    </cfRule>
    <cfRule type="expression" dxfId="14" priority="17">
      <formula>D16=3</formula>
    </cfRule>
    <cfRule type="expression" dxfId="13" priority="18">
      <formula>D16=2</formula>
    </cfRule>
    <cfRule type="expression" dxfId="12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1" priority="11">
      <formula>E16=4</formula>
    </cfRule>
    <cfRule type="expression" dxfId="10" priority="12">
      <formula>E16=3</formula>
    </cfRule>
    <cfRule type="expression" dxfId="9" priority="13">
      <formula>E16=2</formula>
    </cfRule>
    <cfRule type="expression" dxfId="8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7" priority="6">
      <formula>F13=4</formula>
    </cfRule>
    <cfRule type="expression" dxfId="6" priority="7">
      <formula>F13=3</formula>
    </cfRule>
    <cfRule type="expression" dxfId="5" priority="8">
      <formula>F13=2</formula>
    </cfRule>
    <cfRule type="expression" dxfId="4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21"/>
  <sheetViews>
    <sheetView tabSelected="1" topLeftCell="A6" zoomScale="130" zoomScaleNormal="130" workbookViewId="0">
      <selection activeCell="B11" sqref="B11"/>
    </sheetView>
  </sheetViews>
  <sheetFormatPr defaultRowHeight="15" x14ac:dyDescent="0.25"/>
  <cols>
    <col min="3" max="3" width="23" customWidth="1"/>
    <col min="5" max="5" width="26.7109375" customWidth="1"/>
    <col min="25" max="25" width="27.7109375" bestFit="1" customWidth="1"/>
    <col min="28" max="28" width="15.28515625" customWidth="1"/>
  </cols>
  <sheetData>
    <row r="3" spans="3:29" x14ac:dyDescent="0.25">
      <c r="Y3" t="s">
        <v>23</v>
      </c>
    </row>
    <row r="4" spans="3:29" ht="15.75" thickBot="1" x14ac:dyDescent="0.3">
      <c r="Y4" t="s">
        <v>24</v>
      </c>
    </row>
    <row r="5" spans="3:29" ht="15.75" thickBot="1" x14ac:dyDescent="0.3">
      <c r="D5" s="15" t="s">
        <v>19</v>
      </c>
      <c r="E5" s="15" t="s">
        <v>20</v>
      </c>
    </row>
    <row r="6" spans="3:29" ht="15.75" thickBot="1" x14ac:dyDescent="0.3">
      <c r="C6" s="15" t="s">
        <v>18</v>
      </c>
      <c r="D6" s="23">
        <f t="shared" ref="D6:D7" si="0">AA6</f>
        <v>72.400000000000006</v>
      </c>
      <c r="E6" s="23" t="str">
        <f t="shared" ref="E6" si="1">AB6</f>
        <v>Meeting Targets</v>
      </c>
      <c r="AA6">
        <v>72.400000000000006</v>
      </c>
      <c r="AB6" t="s">
        <v>25</v>
      </c>
      <c r="AC6">
        <v>2</v>
      </c>
    </row>
    <row r="7" spans="3:29" ht="15.75" thickBot="1" x14ac:dyDescent="0.3">
      <c r="C7" s="15" t="s">
        <v>53</v>
      </c>
      <c r="D7" s="23">
        <f t="shared" si="0"/>
        <v>70.7</v>
      </c>
      <c r="E7" s="23" t="str">
        <f>AB7</f>
        <v>Meeting Targets</v>
      </c>
      <c r="AA7">
        <v>70.7</v>
      </c>
      <c r="AB7" t="s">
        <v>25</v>
      </c>
      <c r="AC7">
        <v>2</v>
      </c>
    </row>
    <row r="8" spans="3:29" ht="15.75" thickBot="1" x14ac:dyDescent="0.3">
      <c r="C8" s="15" t="s">
        <v>55</v>
      </c>
      <c r="D8" s="23"/>
      <c r="E8" s="23" t="str">
        <f>AB9</f>
        <v>Meeting Targets</v>
      </c>
      <c r="AA8">
        <v>2</v>
      </c>
      <c r="AB8" t="e">
        <v>#N/A</v>
      </c>
      <c r="AC8" t="e">
        <v>#N/A</v>
      </c>
    </row>
    <row r="9" spans="3:29" ht="15.75" thickBot="1" x14ac:dyDescent="0.3">
      <c r="C9" s="15" t="s">
        <v>54</v>
      </c>
      <c r="D9" s="23"/>
      <c r="E9" s="23"/>
      <c r="AA9">
        <v>2</v>
      </c>
      <c r="AB9" t="s">
        <v>25</v>
      </c>
      <c r="AC9">
        <v>2</v>
      </c>
    </row>
    <row r="10" spans="3:29" ht="15.75" thickBot="1" x14ac:dyDescent="0.3">
      <c r="C10" s="40"/>
    </row>
    <row r="11" spans="3:29" ht="15.75" thickBot="1" x14ac:dyDescent="0.3">
      <c r="C11" s="40"/>
      <c r="E11" s="15" t="s">
        <v>20</v>
      </c>
    </row>
    <row r="12" spans="3:29" ht="15.75" thickBot="1" x14ac:dyDescent="0.3">
      <c r="C12" s="41" t="s">
        <v>121</v>
      </c>
      <c r="D12" s="42"/>
      <c r="E12" s="23"/>
    </row>
    <row r="13" spans="3:29" ht="15.75" thickBot="1" x14ac:dyDescent="0.3">
      <c r="C13" s="41" t="s">
        <v>122</v>
      </c>
      <c r="D13" s="42"/>
      <c r="E13" s="23"/>
    </row>
    <row r="14" spans="3:29" x14ac:dyDescent="0.25">
      <c r="C14" s="40"/>
    </row>
    <row r="15" spans="3:29" ht="15.75" thickBot="1" x14ac:dyDescent="0.3"/>
    <row r="16" spans="3:29" ht="15.75" thickBot="1" x14ac:dyDescent="0.3">
      <c r="D16" s="15" t="s">
        <v>21</v>
      </c>
      <c r="E16" s="17"/>
    </row>
    <row r="19" spans="3:3" x14ac:dyDescent="0.25">
      <c r="C19" t="s">
        <v>26</v>
      </c>
    </row>
    <row r="21" spans="3:3" ht="18.600000000000001" customHeight="1" x14ac:dyDescent="0.25">
      <c r="C21" s="24"/>
    </row>
  </sheetData>
  <mergeCells count="2">
    <mergeCell ref="C12:D12"/>
    <mergeCell ref="C13:D13"/>
  </mergeCells>
  <conditionalFormatting sqref="E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5</xdr:col>
                    <xdr:colOff>752475</xdr:colOff>
                    <xdr:row>4</xdr:row>
                    <xdr:rowOff>180975</xdr:rowOff>
                  </from>
                  <to>
                    <xdr:col>6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indeces</vt:lpstr>
      <vt:lpstr>grad rate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2014-09-16T21:23:16Z</dcterms:modified>
</cp:coreProperties>
</file>
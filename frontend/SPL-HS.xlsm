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2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<sst xmlns="http://schemas.openxmlformats.org/spreadsheetml/2006/main" count="177" uniqueCount="109">
  <si>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</si>
  <si>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</si>
  <si>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</si>
  <si>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</si>
  <si>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</si>
  <si>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</si>
  <si>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</si>
  <si>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</si>
  <si>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</si>
  <si>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</si>
  <si>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</si>
  <si>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</si>
  <si>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</si>
  <si>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</si>
  <si>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</si>
  <si>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</si>
  <si>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</si>
  <si>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</si>
  <si>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</si>
  <si>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</si>
  <si>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</si>
  <si>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</si>
  <si>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</si>
  <si>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</si>
  <si>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</si>
  <si>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</si>
  <si>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</si>
  <si>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</si>
  <si>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</si>
  <si>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</si>
  <si>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</si>
  <si>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</si>
  <si>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</si>
  <si>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</si>
  <si>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</si>
  <si>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</si>
  <si>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</si>
  <si>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</si>
  <si>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</si>
  <si>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</si>
  <si>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</si>
  <si>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</si>
  <si>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</si>
  <si>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</si>
  <si>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</si>
  <si>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</si>
  <si>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</si>
  <si>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</si>
  <si>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</si>
  <si>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</si>
  <si>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</si>
  <si>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</si>
  <si>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</si>
  <si>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</si>
  <si>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</si>
  <si>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</si>
  <si>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</si>
  <si>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</si>
  <si>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</si>
  <si>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</si>
  <si>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</si>
  <si>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</si>
  <si>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</si>
  <si>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</si>
  <si>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</si>
  <si>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</si>
  <si>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</si>
  <si>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</si>
  <si>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</si>
  <si>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</si>
  <si>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</si>
  <si>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</si>
  <si>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</si>
  <si>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</si>
  <si>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</si>
  <si>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</si>
  <si>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</si>
  <si>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</si>
  <si>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</si>
  <si>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</si>
  <si>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</si>
  <si>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</si>
  <si>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</si>
  <si>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</si>
  <si>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</si>
  <si>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</si>
  <si>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</si>
  <si>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</si>
  <si>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</si>
  <si>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</si>
  <si>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</si>
  <si>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</si>
  <si>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</si>
  <si>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</si>
  <si>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</si>
  <si>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</si>
  <si>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</si>
  <si>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</si>
  <si>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</si>
  <si>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</si>
  <si>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</si>
  <si>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</si>
  <si>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</si>
  <si>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</si>
  <si>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</si>
  <si>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</si>
  <si>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</si>
  <si>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</si>
  <si>
    <t>Exceeding Targets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</si>
</sst>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/>
    <xf numFmtId="0" fontId="0" fillId="0" borderId="10" xfId="0" applyBorder="1" applyAlignment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7</xdr:col>
          <xdr:colOff>638175</xdr:colOff>
          <xdr:row>5</xdr:row>
          <xdr:rowOff>219075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topLeftCell="B1" zoomScale="130" zoomScaleNormal="130" workbookViewId="0">
      <selection activeCell="D8" sqref="D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32</v>
      </c>
      <c r="E5" s="12">
        <v>45</v>
      </c>
    </row>
    <row r="6" spans="3:5" ht="15.75" thickBot="1" x14ac:dyDescent="0.3">
      <c r="C6" s="14" t="s">
        <v>51</v>
      </c>
      <c r="D6" s="10">
        <v>120</v>
      </c>
      <c r="E6" s="12">
        <v>127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70</v>
      </c>
      <c r="E8" s="12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topLeftCell="B1" zoomScaleNormal="100" workbookViewId="0">
      <selection activeCell="H9" sqref="H9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40</v>
      </c>
      <c r="AB6">
        <f>E9</f>
        <v>70</v>
      </c>
      <c r="AC6">
        <f>F9</f>
        <v>80</v>
      </c>
      <c r="AD6">
        <f>G9</f>
        <v>90</v>
      </c>
      <c r="AE6">
        <f>H9</f>
        <v>100</v>
      </c>
    </row>
    <row r="7" spans="3:31" ht="15.75" thickBot="1" x14ac:dyDescent="0.3">
      <c r="AA7" s="29">
        <f>D12</f>
        <v>0.3</v>
      </c>
      <c r="AB7" s="29">
        <f>E12</f>
        <v>0.3</v>
      </c>
      <c r="AC7" s="29">
        <f>F12</f>
        <v>0.4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40</v>
      </c>
      <c r="E9" s="26">
        <v>70</v>
      </c>
      <c r="F9" s="26">
        <v>80</v>
      </c>
      <c r="G9" s="26">
        <v>90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</v>
      </c>
      <c r="E12" s="28">
        <v>0.3</v>
      </c>
      <c r="F12" s="28">
        <v>0.4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tabSelected="1" topLeftCell="A10" zoomScaleNormal="100" workbookViewId="0">
      <selection activeCell="AA19" sqref="AA19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43"/>
      <c r="C2" s="43"/>
      <c r="D2" s="43"/>
      <c r="E2" s="43"/>
      <c r="F2" s="43"/>
    </row>
    <row r="3" spans="2:29" ht="19.5" thickBot="1" x14ac:dyDescent="0.35">
      <c r="B3" s="44" t="s">
        <v>83</v>
      </c>
      <c r="C3" s="45"/>
      <c r="D3" s="45"/>
      <c r="E3" s="45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1</v>
      </c>
      <c r="E5" s="4">
        <v>2</v>
      </c>
      <c r="F5" s="4">
        <v>1</v>
      </c>
      <c r="AA5">
        <f>C5</f>
        <v>1</v>
      </c>
      <c r="AB5">
        <f t="shared" ref="AB5:AC7" si="0">D5</f>
        <v>1</v>
      </c>
      <c r="AC5">
        <f t="shared" si="0"/>
        <v>2</v>
      </c>
    </row>
    <row r="6" spans="2:29" ht="15.75" thickBot="1" x14ac:dyDescent="0.3">
      <c r="B6" s="5" t="s">
        <v>68</v>
      </c>
      <c r="C6" s="4">
        <v>2</v>
      </c>
      <c r="D6" s="4">
        <v>2</v>
      </c>
      <c r="E6" s="4">
        <v>3</v>
      </c>
      <c r="F6" s="4">
        <v>2</v>
      </c>
      <c r="AA6">
        <f t="shared" ref="AA6:AA7" si="1">C6</f>
        <v>2</v>
      </c>
      <c r="AB6">
        <f t="shared" si="0"/>
        <v>2</v>
      </c>
      <c r="AC6">
        <f t="shared" si="0"/>
        <v>3</v>
      </c>
    </row>
    <row r="7" spans="2:29" ht="15.75" thickBot="1" x14ac:dyDescent="0.3">
      <c r="B7" s="6" t="s">
        <v>69</v>
      </c>
      <c r="C7" s="4">
        <v>2</v>
      </c>
      <c r="D7" s="4">
        <v>3</v>
      </c>
      <c r="E7" s="4">
        <v>3</v>
      </c>
      <c r="F7" s="4">
        <v>3</v>
      </c>
      <c r="AA7">
        <f t="shared" si="1"/>
        <v>2</v>
      </c>
      <c r="AB7">
        <f t="shared" si="0"/>
        <v>3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37"/>
      <c r="AA8">
        <f t="shared" ref="AA8:AC10" si="2">C13</f>
        <v>1</v>
      </c>
      <c r="AB8">
        <f t="shared" si="2"/>
        <v>1</v>
      </c>
      <c r="AC8">
        <f t="shared" si="2"/>
        <v>2</v>
      </c>
    </row>
    <row r="9" spans="2:29" x14ac:dyDescent="0.25">
      <c r="AA9">
        <f t="shared" si="2"/>
        <v>2</v>
      </c>
      <c r="AB9">
        <f t="shared" si="2"/>
        <v>2</v>
      </c>
      <c r="AC9">
        <f t="shared" si="2"/>
        <v>3</v>
      </c>
    </row>
    <row r="10" spans="2:29" x14ac:dyDescent="0.25">
      <c r="AA10">
        <f t="shared" si="2"/>
        <v>2</v>
      </c>
      <c r="AB10">
        <f t="shared" si="2"/>
        <v>3</v>
      </c>
      <c r="AC10">
        <f t="shared" si="2"/>
        <v>3</v>
      </c>
    </row>
    <row r="11" spans="2:29" ht="19.5" thickBot="1" x14ac:dyDescent="0.35">
      <c r="B11" s="44" t="s">
        <v>84</v>
      </c>
      <c r="C11" s="45"/>
      <c r="D11" s="45"/>
      <c r="E11" s="45"/>
      <c r="AA11">
        <f t="shared" ref="AA11:AC13" si="3">C21</f>
        <v>1</v>
      </c>
      <c r="AB11">
        <f t="shared" si="3"/>
        <v>2</v>
      </c>
      <c r="AC11">
        <f t="shared" si="3"/>
        <v>3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 t="shared" si="3"/>
        <v>2</v>
      </c>
      <c r="AB12">
        <f t="shared" si="3"/>
        <v>3</v>
      </c>
      <c r="AC12">
        <f t="shared" si="3"/>
        <v>3</v>
      </c>
    </row>
    <row r="13" spans="2:29" ht="15.75" thickBot="1" x14ac:dyDescent="0.3">
      <c r="B13" s="4" t="s">
        <v>6</v>
      </c>
      <c r="C13" s="4">
        <v>1</v>
      </c>
      <c r="D13" s="4">
        <v>1</v>
      </c>
      <c r="E13" s="4">
        <v>2</v>
      </c>
      <c r="F13" s="4">
        <v>1</v>
      </c>
      <c r="AA13">
        <f t="shared" si="3"/>
        <v>2</v>
      </c>
      <c r="AB13">
        <f t="shared" si="3"/>
        <v>3</v>
      </c>
      <c r="AC13">
        <f t="shared" si="3"/>
        <v>4</v>
      </c>
    </row>
    <row r="14" spans="2:29" ht="15.75" thickBot="1" x14ac:dyDescent="0.3">
      <c r="B14" s="5" t="s">
        <v>7</v>
      </c>
      <c r="C14" s="4">
        <v>2</v>
      </c>
      <c r="D14" s="4">
        <v>2</v>
      </c>
      <c r="E14" s="4">
        <v>3</v>
      </c>
      <c r="F14" s="4">
        <v>2</v>
      </c>
    </row>
    <row r="15" spans="2:29" ht="15.75" thickBot="1" x14ac:dyDescent="0.3">
      <c r="B15" s="6" t="s">
        <v>8</v>
      </c>
      <c r="C15" s="4">
        <v>2</v>
      </c>
      <c r="D15" s="4">
        <v>3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37"/>
    </row>
    <row r="17" spans="2:27" x14ac:dyDescent="0.25">
      <c r="C17" s="1"/>
      <c r="D17" s="1"/>
      <c r="E17" s="1"/>
      <c r="F17" s="1"/>
    </row>
    <row r="19" spans="2:27" ht="19.5" thickBot="1" x14ac:dyDescent="0.35">
      <c r="B19" s="44" t="s">
        <v>85</v>
      </c>
      <c r="C19" s="45"/>
      <c r="D19" s="45"/>
      <c r="E19" s="45"/>
      <c r="Y19" t="s">
        <v>101</v>
      </c>
      <c r="Z19" t="s">
        <v>102</v>
      </c>
      <c r="AA19">
        <v>1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3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opLeftCell="X21" zoomScaleNormal="100" workbookViewId="0"/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43"/>
      <c r="C2" s="43"/>
      <c r="D2" s="43"/>
      <c r="E2" s="43"/>
      <c r="F2" s="43"/>
    </row>
    <row r="3" spans="2:34" ht="19.5" thickBot="1" x14ac:dyDescent="0.35">
      <c r="B3" s="44" t="s">
        <v>83</v>
      </c>
      <c r="C3" s="45"/>
      <c r="D3" s="45"/>
      <c r="E3" s="45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34">
        <f>AE5</f>
        <v>21</v>
      </c>
      <c r="D5" s="34">
        <f t="shared" ref="D5:F8" si="0">AF5</f>
        <v>6</v>
      </c>
      <c r="E5" s="35">
        <f t="shared" si="0"/>
        <v>2</v>
      </c>
      <c r="F5" s="34">
        <f t="shared" si="0"/>
        <v>1</v>
      </c>
      <c r="H5" s="9" t="s">
        <v>5</v>
      </c>
      <c r="I5" s="10">
        <f>AE17</f>
        <v>28</v>
      </c>
      <c r="J5" s="10">
        <f t="shared" ref="J5:K10" si="1">AF17</f>
        <v>0</v>
      </c>
      <c r="K5" s="10">
        <f t="shared" si="1"/>
        <v>28</v>
      </c>
      <c r="L5" s="18">
        <f>K5/$K$10</f>
        <v>0.33333333333333331</v>
      </c>
      <c r="Q5" s="46" t="s">
        <v>94</v>
      </c>
      <c r="R5" s="47"/>
      <c r="S5" s="47"/>
      <c r="T5" s="48"/>
      <c r="AE5">
        <v>21</v>
      </c>
      <c r="AF5">
        <v>6</v>
      </c>
      <c r="AG5">
        <v>2</v>
      </c>
      <c r="AH5">
        <v>1</v>
      </c>
    </row>
    <row r="6" spans="2:34" ht="15.75" thickBot="1" x14ac:dyDescent="0.3">
      <c r="B6" s="5" t="s">
        <v>68</v>
      </c>
      <c r="C6" s="35">
        <f t="shared" ref="C6:C8" si="2">AE6</f>
        <v>9</v>
      </c>
      <c r="D6" s="35">
        <f t="shared" si="0"/>
        <v>13</v>
      </c>
      <c r="E6" s="36">
        <f t="shared" si="0"/>
        <v>19</v>
      </c>
      <c r="F6" s="35">
        <f t="shared" si="0"/>
        <v>0</v>
      </c>
      <c r="H6" s="9" t="s">
        <v>4</v>
      </c>
      <c r="I6" s="11">
        <f t="shared" ref="I6:I10" si="3">AE18</f>
        <v>17</v>
      </c>
      <c r="J6" s="11">
        <f t="shared" si="1"/>
        <v>0</v>
      </c>
      <c r="K6" s="11">
        <f t="shared" si="1"/>
        <v>17</v>
      </c>
      <c r="L6" s="19">
        <f t="shared" ref="L6:L9" si="4">K6/$K$10</f>
        <v>0.20238095238095238</v>
      </c>
      <c r="Q6" s="31" t="s">
        <v>5</v>
      </c>
      <c r="R6" s="39">
        <f>AE29/AE$32</f>
        <v>0.93333333333333335</v>
      </c>
      <c r="S6" s="39">
        <f t="shared" ref="S6:T8" si="5">AF29/AF$32</f>
        <v>0.33823529411764708</v>
      </c>
      <c r="T6" s="39">
        <f t="shared" si="5"/>
        <v>0.44578313253012047</v>
      </c>
      <c r="AE6">
        <v>9</v>
      </c>
      <c r="AF6">
        <v>13</v>
      </c>
      <c r="AG6">
        <v>19</v>
      </c>
      <c r="AH6">
        <v>0</v>
      </c>
    </row>
    <row r="7" spans="2:34" ht="15.75" thickBot="1" x14ac:dyDescent="0.3">
      <c r="B7" s="6" t="s">
        <v>69</v>
      </c>
      <c r="C7" s="35">
        <f t="shared" si="2"/>
        <v>1</v>
      </c>
      <c r="D7" s="36">
        <f t="shared" si="0"/>
        <v>3</v>
      </c>
      <c r="E7" s="36">
        <f t="shared" si="0"/>
        <v>8</v>
      </c>
      <c r="F7" s="36">
        <f t="shared" si="0"/>
        <v>0</v>
      </c>
      <c r="H7" s="9" t="s">
        <v>3</v>
      </c>
      <c r="I7" s="12">
        <f t="shared" si="3"/>
        <v>23</v>
      </c>
      <c r="J7" s="12">
        <f t="shared" si="1"/>
        <v>0</v>
      </c>
      <c r="K7" s="12">
        <f t="shared" si="1"/>
        <v>23</v>
      </c>
      <c r="L7" s="20">
        <f t="shared" si="4"/>
        <v>0.27380952380952384</v>
      </c>
      <c r="Q7" s="31" t="s">
        <v>3</v>
      </c>
      <c r="R7" s="39">
        <f t="shared" ref="R7:R8" si="6">AE30/AE$32</f>
        <v>0</v>
      </c>
      <c r="S7" s="39">
        <f t="shared" si="5"/>
        <v>0.33823529411764708</v>
      </c>
      <c r="T7" s="39">
        <f t="shared" si="5"/>
        <v>0.27710843373493976</v>
      </c>
      <c r="AE7">
        <v>1</v>
      </c>
      <c r="AF7">
        <v>3</v>
      </c>
      <c r="AG7">
        <v>8</v>
      </c>
      <c r="AH7">
        <v>0</v>
      </c>
    </row>
    <row r="8" spans="2:34" ht="15.75" thickBot="1" x14ac:dyDescent="0.3">
      <c r="B8" s="6" t="s">
        <v>73</v>
      </c>
      <c r="C8" s="34">
        <f t="shared" si="2"/>
        <v>0</v>
      </c>
      <c r="D8" s="35">
        <f t="shared" si="0"/>
        <v>0</v>
      </c>
      <c r="E8" s="36">
        <f t="shared" si="0"/>
        <v>1</v>
      </c>
      <c r="F8" s="4">
        <f t="shared" si="0"/>
        <v>0</v>
      </c>
      <c r="H8" s="9" t="s">
        <v>2</v>
      </c>
      <c r="I8" s="13">
        <f t="shared" si="3"/>
        <v>12</v>
      </c>
      <c r="J8" s="13">
        <f t="shared" si="1"/>
        <v>0</v>
      </c>
      <c r="K8" s="13">
        <f t="shared" si="1"/>
        <v>12</v>
      </c>
      <c r="L8" s="21">
        <f t="shared" si="4"/>
        <v>0.14285714285714285</v>
      </c>
      <c r="Q8" s="31" t="s">
        <v>2</v>
      </c>
      <c r="R8" s="39">
        <f t="shared" si="6"/>
        <v>6.6666666666666666E-2</v>
      </c>
      <c r="S8" s="39">
        <f t="shared" si="5"/>
        <v>0.3235294117647059</v>
      </c>
      <c r="T8" s="39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46" t="s">
        <v>95</v>
      </c>
      <c r="R9" s="47"/>
      <c r="S9" s="47"/>
      <c r="T9" s="48"/>
      <c r="AE9">
        <v>7</v>
      </c>
      <c r="AF9">
        <v>5</v>
      </c>
      <c r="AG9">
        <v>2</v>
      </c>
      <c r="AH9">
        <v>23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39">
        <f>AE33/AE$36</f>
        <v>0.93333333333333335</v>
      </c>
      <c r="S10" s="39">
        <f t="shared" ref="S10:T12" si="7">AF33/AF$36</f>
        <v>0.3235294117647059</v>
      </c>
      <c r="T10" s="39">
        <f t="shared" si="7"/>
        <v>0.43373493975903615</v>
      </c>
      <c r="AE10">
        <v>3</v>
      </c>
      <c r="AF10">
        <v>11</v>
      </c>
      <c r="AG10">
        <v>5</v>
      </c>
      <c r="AH10">
        <v>8</v>
      </c>
    </row>
    <row r="11" spans="2:34" ht="19.5" thickBot="1" x14ac:dyDescent="0.35">
      <c r="B11" s="44" t="s">
        <v>84</v>
      </c>
      <c r="C11" s="45"/>
      <c r="D11" s="45"/>
      <c r="E11" s="45"/>
      <c r="Q11" s="31" t="s">
        <v>3</v>
      </c>
      <c r="R11" s="39">
        <f t="shared" ref="R11:R12" si="8">AE34/AE$36</f>
        <v>0</v>
      </c>
      <c r="S11" s="39">
        <f t="shared" si="7"/>
        <v>0.3235294117647059</v>
      </c>
      <c r="T11" s="39">
        <f t="shared" si="7"/>
        <v>0.26506024096385544</v>
      </c>
      <c r="AE11">
        <v>0</v>
      </c>
      <c r="AF11">
        <v>4</v>
      </c>
      <c r="AG11">
        <v>5</v>
      </c>
      <c r="AH11">
        <v>7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39">
        <f t="shared" si="8"/>
        <v>6.6666666666666666E-2</v>
      </c>
      <c r="S12" s="39">
        <f t="shared" si="7"/>
        <v>0.35294117647058826</v>
      </c>
      <c r="T12" s="39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34">
        <f>AE9</f>
        <v>7</v>
      </c>
      <c r="D13" s="34">
        <f t="shared" ref="D13:F16" si="9">AF9</f>
        <v>5</v>
      </c>
      <c r="E13" s="35">
        <f t="shared" si="9"/>
        <v>2</v>
      </c>
      <c r="F13" s="34">
        <f t="shared" si="9"/>
        <v>23</v>
      </c>
      <c r="H13" s="9" t="s">
        <v>5</v>
      </c>
      <c r="I13" s="18">
        <f>AE23/AE$28</f>
        <v>0.8666666666666667</v>
      </c>
      <c r="J13" s="18">
        <f t="shared" ref="J13:K17" si="10">AF23/AF$28</f>
        <v>0.21739130434782608</v>
      </c>
      <c r="K13" s="18">
        <f t="shared" si="10"/>
        <v>0.33333333333333331</v>
      </c>
      <c r="Q13" s="46" t="s">
        <v>96</v>
      </c>
      <c r="R13" s="47"/>
      <c r="S13" s="47"/>
      <c r="T13" s="48"/>
      <c r="AE13">
        <v>22</v>
      </c>
      <c r="AF13">
        <v>2</v>
      </c>
      <c r="AG13">
        <v>1</v>
      </c>
      <c r="AH13">
        <v>3</v>
      </c>
    </row>
    <row r="14" spans="2:34" ht="15.75" thickBot="1" x14ac:dyDescent="0.3">
      <c r="B14" s="5" t="s">
        <v>7</v>
      </c>
      <c r="C14" s="35">
        <f t="shared" ref="C14:C16" si="11">AE10</f>
        <v>3</v>
      </c>
      <c r="D14" s="35">
        <f t="shared" si="9"/>
        <v>11</v>
      </c>
      <c r="E14" s="36">
        <f t="shared" si="9"/>
        <v>5</v>
      </c>
      <c r="F14" s="35">
        <f t="shared" si="9"/>
        <v>8</v>
      </c>
      <c r="H14" s="9" t="s">
        <v>4</v>
      </c>
      <c r="I14" s="19">
        <f t="shared" ref="I14:I17" si="12">AE24/AE$28</f>
        <v>0</v>
      </c>
      <c r="J14" s="19">
        <f t="shared" si="10"/>
        <v>0.24637681159420291</v>
      </c>
      <c r="K14" s="19">
        <f t="shared" si="10"/>
        <v>0.20238095238095238</v>
      </c>
      <c r="Q14" s="31" t="s">
        <v>5</v>
      </c>
      <c r="R14" s="39">
        <f>AE37/AE$40</f>
        <v>0.8</v>
      </c>
      <c r="S14" s="39">
        <f t="shared" ref="S14:T16" si="13">AF37/AF$40</f>
        <v>0.27941176470588236</v>
      </c>
      <c r="T14" s="39">
        <f t="shared" si="13"/>
        <v>0.37349397590361444</v>
      </c>
      <c r="AE14">
        <v>5</v>
      </c>
      <c r="AF14">
        <v>13</v>
      </c>
      <c r="AG14">
        <v>7</v>
      </c>
      <c r="AH14">
        <v>0</v>
      </c>
    </row>
    <row r="15" spans="2:34" ht="15.75" thickBot="1" x14ac:dyDescent="0.3">
      <c r="B15" s="6" t="s">
        <v>8</v>
      </c>
      <c r="C15" s="35">
        <f t="shared" si="11"/>
        <v>0</v>
      </c>
      <c r="D15" s="36">
        <f t="shared" si="9"/>
        <v>4</v>
      </c>
      <c r="E15" s="36">
        <f t="shared" si="9"/>
        <v>5</v>
      </c>
      <c r="F15" s="36">
        <f t="shared" si="9"/>
        <v>7</v>
      </c>
      <c r="H15" s="9" t="s">
        <v>3</v>
      </c>
      <c r="I15" s="20">
        <f t="shared" si="12"/>
        <v>0</v>
      </c>
      <c r="J15" s="20">
        <f t="shared" si="10"/>
        <v>0.33333333333333331</v>
      </c>
      <c r="K15" s="20">
        <f t="shared" si="10"/>
        <v>0.27380952380952384</v>
      </c>
      <c r="Q15" s="31" t="s">
        <v>3</v>
      </c>
      <c r="R15" s="39">
        <f t="shared" ref="R15:R16" si="14">AE38/AE$40</f>
        <v>0.13333333333333333</v>
      </c>
      <c r="S15" s="39">
        <f t="shared" si="13"/>
        <v>0.29411764705882354</v>
      </c>
      <c r="T15" s="39">
        <f t="shared" si="13"/>
        <v>0.26506024096385544</v>
      </c>
      <c r="AE15">
        <v>8</v>
      </c>
      <c r="AF15">
        <v>9</v>
      </c>
      <c r="AG15">
        <v>13</v>
      </c>
      <c r="AH15">
        <v>1</v>
      </c>
    </row>
    <row r="16" spans="2:34" ht="15.75" thickBot="1" x14ac:dyDescent="0.3">
      <c r="B16" s="6" t="s">
        <v>75</v>
      </c>
      <c r="C16" s="34">
        <f t="shared" si="11"/>
        <v>0</v>
      </c>
      <c r="D16" s="35">
        <f t="shared" si="9"/>
        <v>0</v>
      </c>
      <c r="E16" s="36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0.17391304347826086</v>
      </c>
      <c r="K16" s="21">
        <f t="shared" si="10"/>
        <v>0.14285714285714285</v>
      </c>
      <c r="Q16" s="31" t="s">
        <v>2</v>
      </c>
      <c r="R16" s="39">
        <f t="shared" si="14"/>
        <v>6.6666666666666666E-2</v>
      </c>
      <c r="S16" s="39">
        <f t="shared" si="13"/>
        <v>0.4264705882352941</v>
      </c>
      <c r="T16" s="39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28</v>
      </c>
      <c r="AF17">
        <v>0</v>
      </c>
      <c r="AG17">
        <v>28</v>
      </c>
      <c r="AH17" t="e">
        <v>#N/A</v>
      </c>
    </row>
    <row r="18" spans="2:34" x14ac:dyDescent="0.25">
      <c r="AE18">
        <v>17</v>
      </c>
      <c r="AF18">
        <v>0</v>
      </c>
      <c r="AG18">
        <v>17</v>
      </c>
      <c r="AH18" t="e">
        <v>#N/A</v>
      </c>
    </row>
    <row r="19" spans="2:34" ht="19.5" thickBot="1" x14ac:dyDescent="0.35">
      <c r="B19" s="44" t="s">
        <v>85</v>
      </c>
      <c r="C19" s="45"/>
      <c r="D19" s="45"/>
      <c r="E19" s="45"/>
      <c r="F19" s="1"/>
      <c r="AE19">
        <v>23</v>
      </c>
      <c r="AF19">
        <v>0</v>
      </c>
      <c r="AG19">
        <v>23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12</v>
      </c>
      <c r="AF20">
        <v>0</v>
      </c>
      <c r="AG20">
        <v>12</v>
      </c>
      <c r="AH20" t="e">
        <v>#N/A</v>
      </c>
    </row>
    <row r="21" spans="2:34" ht="15.75" thickBot="1" x14ac:dyDescent="0.3">
      <c r="B21" s="4" t="s">
        <v>77</v>
      </c>
      <c r="C21" s="34">
        <f>AE13</f>
        <v>22</v>
      </c>
      <c r="D21" s="35">
        <f t="shared" ref="D21:F24" si="15">AF13</f>
        <v>2</v>
      </c>
      <c r="E21" s="36">
        <f t="shared" si="15"/>
        <v>1</v>
      </c>
      <c r="F21" s="4">
        <f t="shared" si="15"/>
        <v>3</v>
      </c>
      <c r="Q21" s="46" t="s">
        <v>94</v>
      </c>
      <c r="R21" s="47"/>
      <c r="S21" s="47"/>
      <c r="T21" s="48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35">
        <f t="shared" ref="C22:C24" si="16">AE14</f>
        <v>5</v>
      </c>
      <c r="D22" s="36">
        <f t="shared" si="15"/>
        <v>13</v>
      </c>
      <c r="E22" s="36">
        <f t="shared" si="15"/>
        <v>7</v>
      </c>
      <c r="F22" s="4">
        <f t="shared" si="15"/>
        <v>0</v>
      </c>
      <c r="Q22" s="31" t="s">
        <v>5</v>
      </c>
      <c r="R22" s="40">
        <f>AE29</f>
        <v>14</v>
      </c>
      <c r="S22" s="40">
        <f t="shared" ref="S22:T22" si="17">AF29</f>
        <v>23</v>
      </c>
      <c r="T22" s="40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35">
        <f t="shared" si="16"/>
        <v>8</v>
      </c>
      <c r="D23" s="36">
        <f t="shared" si="15"/>
        <v>9</v>
      </c>
      <c r="E23" s="38">
        <f t="shared" si="15"/>
        <v>13</v>
      </c>
      <c r="F23" s="4">
        <f t="shared" si="15"/>
        <v>1</v>
      </c>
      <c r="Q23" s="31" t="s">
        <v>3</v>
      </c>
      <c r="R23" s="40">
        <f t="shared" ref="R23:T23" si="18">AE30</f>
        <v>0</v>
      </c>
      <c r="S23" s="40">
        <f t="shared" si="18"/>
        <v>23</v>
      </c>
      <c r="T23" s="40">
        <f t="shared" si="18"/>
        <v>23</v>
      </c>
      <c r="AE23">
        <v>13</v>
      </c>
      <c r="AF23">
        <v>15</v>
      </c>
      <c r="AG23">
        <v>28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0">
        <f t="shared" ref="R24:T24" si="19">AE31</f>
        <v>1</v>
      </c>
      <c r="S24" s="40">
        <f t="shared" si="19"/>
        <v>22</v>
      </c>
      <c r="T24" s="40">
        <f t="shared" si="19"/>
        <v>23</v>
      </c>
      <c r="AE24">
        <v>0</v>
      </c>
      <c r="AF24">
        <v>17</v>
      </c>
      <c r="AG24">
        <v>17</v>
      </c>
      <c r="AH24" t="e">
        <v>#N/A</v>
      </c>
    </row>
    <row r="25" spans="2:34" ht="15.75" thickBot="1" x14ac:dyDescent="0.3">
      <c r="Q25" s="46" t="s">
        <v>95</v>
      </c>
      <c r="R25" s="47"/>
      <c r="S25" s="47"/>
      <c r="T25" s="48"/>
      <c r="AE25">
        <v>0</v>
      </c>
      <c r="AF25">
        <v>23</v>
      </c>
      <c r="AG25">
        <v>23</v>
      </c>
      <c r="AH25" t="e">
        <v>#N/A</v>
      </c>
    </row>
    <row r="26" spans="2:34" ht="15.75" thickBot="1" x14ac:dyDescent="0.3">
      <c r="Q26" s="31" t="s">
        <v>5</v>
      </c>
      <c r="R26" s="40">
        <f>AE33</f>
        <v>14</v>
      </c>
      <c r="S26" s="40">
        <f t="shared" ref="S26:T26" si="20">AF33</f>
        <v>22</v>
      </c>
      <c r="T26" s="40">
        <f t="shared" si="20"/>
        <v>36</v>
      </c>
      <c r="AE26">
        <v>0</v>
      </c>
      <c r="AF26">
        <v>12</v>
      </c>
      <c r="AG26">
        <v>12</v>
      </c>
      <c r="AH26" t="e">
        <v>#N/A</v>
      </c>
    </row>
    <row r="27" spans="2:34" ht="15.75" thickBot="1" x14ac:dyDescent="0.3">
      <c r="Q27" s="31" t="s">
        <v>3</v>
      </c>
      <c r="R27" s="40">
        <f t="shared" ref="R27:T27" si="21">AE34</f>
        <v>0</v>
      </c>
      <c r="S27" s="40">
        <f t="shared" si="21"/>
        <v>22</v>
      </c>
      <c r="T27" s="40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0">
        <f t="shared" ref="R28:T28" si="22">AE35</f>
        <v>1</v>
      </c>
      <c r="S28" s="40">
        <f t="shared" si="22"/>
        <v>24</v>
      </c>
      <c r="T28" s="40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46" t="s">
        <v>96</v>
      </c>
      <c r="R29" s="47"/>
      <c r="S29" s="47"/>
      <c r="T29" s="48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0">
        <f>AE37</f>
        <v>12</v>
      </c>
      <c r="S30" s="40">
        <f t="shared" ref="S30:T30" si="23">AF37</f>
        <v>19</v>
      </c>
      <c r="T30" s="40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0">
        <f t="shared" ref="R31:T31" si="24">AE38</f>
        <v>2</v>
      </c>
      <c r="S31" s="40">
        <f t="shared" si="24"/>
        <v>20</v>
      </c>
      <c r="T31" s="40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0">
        <f t="shared" ref="R32:T32" si="25">AE39</f>
        <v>1</v>
      </c>
      <c r="S32" s="40">
        <f t="shared" si="25"/>
        <v>29</v>
      </c>
      <c r="T32" s="40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B4" zoomScale="130" zoomScaleNormal="130" workbookViewId="0">
      <selection activeCell="F8" sqref="F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9" t="s">
        <v>18</v>
      </c>
      <c r="D6" s="50"/>
      <c r="E6" s="23">
        <f>AA6</f>
        <v>37</v>
      </c>
      <c r="F6" s="23" t="str">
        <f>AB6</f>
        <v>Meeting Targets</v>
      </c>
      <c r="AA6">
        <v>37</v>
      </c>
      <c r="AB6" t="s">
        <v>25</v>
      </c>
      <c r="AC6">
        <v>2</v>
      </c>
      <c r="AD6">
        <v>2</v>
      </c>
    </row>
    <row r="7" spans="3:30" ht="15.75" thickBot="1" x14ac:dyDescent="0.3">
      <c r="C7" s="49" t="s">
        <v>51</v>
      </c>
      <c r="D7" s="50"/>
      <c r="E7" s="23">
        <f t="shared" ref="E7:E11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9" t="s">
        <v>52</v>
      </c>
      <c r="D8" s="50"/>
      <c r="E8" s="23">
        <f t="shared" si="0"/>
        <v>73</v>
      </c>
      <c r="F8" s="23" t="str">
        <f>AB8</f>
        <v>Exceeding Targets</v>
      </c>
      <c r="AA8">
        <v>73</v>
      </c>
      <c r="AB8" t="s">
        <v>108</v>
      </c>
      <c r="AC8">
        <v>3</v>
      </c>
    </row>
    <row r="9" spans="3:30" ht="15.75" thickBot="1" x14ac:dyDescent="0.3">
      <c r="C9" s="55" t="s">
        <v>53</v>
      </c>
      <c r="D9" s="41" t="s">
        <v>105</v>
      </c>
      <c r="E9" s="23">
        <f t="shared" si="0"/>
        <v>78.2</v>
      </c>
      <c r="F9" s="51" t="str">
        <f>AB9</f>
        <v>Not Meeting Targets</v>
      </c>
      <c r="AA9">
        <v>78.2</v>
      </c>
      <c r="AB9" t="s">
        <v>103</v>
      </c>
      <c r="AC9">
        <v>1</v>
      </c>
      <c r="AD9">
        <v>2</v>
      </c>
    </row>
    <row r="10" spans="3:30" ht="15.75" thickBot="1" x14ac:dyDescent="0.3">
      <c r="C10" s="56"/>
      <c r="D10" s="41" t="s">
        <v>106</v>
      </c>
      <c r="E10" s="23">
        <f t="shared" si="0"/>
        <v>78.900000000000006</v>
      </c>
      <c r="F10" s="52"/>
      <c r="AA10">
        <v>78.900000000000006</v>
      </c>
      <c r="AB10" t="s">
        <v>25</v>
      </c>
      <c r="AC10">
        <v>2</v>
      </c>
    </row>
    <row r="11" spans="3:30" ht="15.75" thickBot="1" x14ac:dyDescent="0.3">
      <c r="C11" s="57"/>
      <c r="D11" s="15" t="s">
        <v>107</v>
      </c>
      <c r="E11" s="42">
        <f t="shared" si="0"/>
        <v>79.5</v>
      </c>
      <c r="F11" s="53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9" t="s">
        <v>97</v>
      </c>
      <c r="D15" s="54"/>
      <c r="E15" s="50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9" t="s">
        <v>98</v>
      </c>
      <c r="D16" s="54"/>
      <c r="E16" s="50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C6:D6"/>
    <mergeCell ref="C8:D8"/>
    <mergeCell ref="F9:F11"/>
    <mergeCell ref="C15:E15"/>
    <mergeCell ref="C16:E16"/>
    <mergeCell ref="C9:C11"/>
    <mergeCell ref="C7:D7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2014-10-16T21:35:36Z</dcterms:modified>
</cp:coreProperties>
</file>
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/>
  </bookViews>
  <sheets>
    <sheet name="parameters" sheetId="19" r:id="rId1"/>
    <sheet name="indeces" sheetId="21" r:id="rId2"/>
    <sheet name="matrix" sheetId="18" r:id="rId3"/>
    <sheet name="impact" sheetId="17" r:id="rId4"/>
    <sheet name="WY" sheetId="20" r:id="rId5"/>
  </sheets>
  <calcPr calcId="152511"/>
</workbook>
</file>

<file path=xl/calcChain.xml><?xml version="1.0" encoding="utf-8"?>
<calcChain xmlns="http://schemas.openxmlformats.org/spreadsheetml/2006/main">
  <c r="F19" i="20" l="1"/>
  <c r="F16" i="20"/>
  <c r="F15" i="20"/>
  <c r="F9" i="20"/>
  <c r="F8" i="20"/>
  <c r="F7" i="20"/>
  <c r="F6" i="20"/>
  <c r="E8" i="20"/>
  <c r="E11" i="20"/>
  <c r="E10" i="20"/>
  <c r="E9" i="20"/>
  <c r="E7" i="20"/>
  <c r="E6" i="20"/>
  <c r="T32" i="17"/>
  <c r="S32" i="17"/>
  <c r="R32" i="17"/>
  <c r="T31" i="17"/>
  <c r="S31" i="17"/>
  <c r="R31" i="17"/>
  <c r="T30" i="17"/>
  <c r="S30" i="17"/>
  <c r="R30" i="17"/>
  <c r="T28" i="17"/>
  <c r="S28" i="17"/>
  <c r="R28" i="17"/>
  <c r="T27" i="17"/>
  <c r="S27" i="17"/>
  <c r="R27" i="17"/>
  <c r="T26" i="17"/>
  <c r="S26" i="17"/>
  <c r="R26" i="17"/>
  <c r="T24" i="17"/>
  <c r="S24" i="17"/>
  <c r="R24" i="17"/>
  <c r="T23" i="17"/>
  <c r="S23" i="17"/>
  <c r="R23" i="17"/>
  <c r="T22" i="17"/>
  <c r="S22" i="17"/>
  <c r="R22" i="17"/>
  <c r="T16" i="17"/>
  <c r="T15" i="17"/>
  <c r="S16" i="17"/>
  <c r="S15" i="17"/>
  <c r="T14" i="17"/>
  <c r="S14" i="17"/>
  <c r="R16" i="17"/>
  <c r="R15" i="17"/>
  <c r="R14" i="17"/>
  <c r="T12" i="17"/>
  <c r="T11" i="17"/>
  <c r="R11" i="17"/>
  <c r="S11" i="17"/>
  <c r="R12" i="17"/>
  <c r="S12" i="17"/>
  <c r="T10" i="17"/>
  <c r="S10" i="17"/>
  <c r="R10" i="17"/>
  <c r="T8" i="17"/>
  <c r="T7" i="17"/>
  <c r="S8" i="17"/>
  <c r="S7" i="17"/>
  <c r="T6" i="17"/>
  <c r="S6" i="17"/>
  <c r="R8" i="17"/>
  <c r="R7" i="17"/>
  <c r="R6" i="17"/>
  <c r="AC13" i="18"/>
  <c r="AC12" i="18"/>
  <c r="AB13" i="18"/>
  <c r="AB12" i="18"/>
  <c r="AA13" i="18"/>
  <c r="AA12" i="18"/>
  <c r="AC11" i="18"/>
  <c r="AB11" i="18"/>
  <c r="AA11" i="18"/>
  <c r="AC10" i="18"/>
  <c r="AC9" i="18"/>
  <c r="AB10" i="18"/>
  <c r="AB9" i="18"/>
  <c r="AB8" i="18"/>
  <c r="AA10" i="18"/>
  <c r="AA9" i="18"/>
  <c r="AC8" i="18"/>
  <c r="AA8" i="18"/>
  <c r="AC7" i="18"/>
  <c r="AC6" i="18"/>
  <c r="AB7" i="18"/>
  <c r="AB6" i="18"/>
  <c r="AA7" i="18"/>
  <c r="AA6" i="18"/>
  <c r="AC5" i="18"/>
  <c r="AB5" i="18"/>
  <c r="AA5" i="18"/>
  <c r="K17" i="17"/>
  <c r="K16" i="17"/>
  <c r="K15" i="17"/>
  <c r="K14" i="17"/>
  <c r="J17" i="17"/>
  <c r="J16" i="17"/>
  <c r="J15" i="17"/>
  <c r="J14" i="17"/>
  <c r="K13" i="17"/>
  <c r="J13" i="17"/>
  <c r="I17" i="17"/>
  <c r="I16" i="17"/>
  <c r="I15" i="17"/>
  <c r="I14" i="17"/>
  <c r="I13" i="17"/>
  <c r="K10" i="17"/>
  <c r="J10" i="17"/>
  <c r="I10" i="17"/>
  <c r="K9" i="17"/>
  <c r="K8" i="17"/>
  <c r="L8" i="17" s="1"/>
  <c r="K7" i="17"/>
  <c r="K6" i="17"/>
  <c r="J9" i="17"/>
  <c r="J8" i="17"/>
  <c r="J7" i="17"/>
  <c r="J6" i="17"/>
  <c r="K5" i="17"/>
  <c r="J5" i="17"/>
  <c r="I9" i="17"/>
  <c r="I8" i="17"/>
  <c r="I7" i="17"/>
  <c r="I6" i="17"/>
  <c r="I5" i="17"/>
  <c r="F24" i="17"/>
  <c r="F23" i="17"/>
  <c r="F22" i="17"/>
  <c r="E24" i="17"/>
  <c r="E23" i="17"/>
  <c r="E22" i="17"/>
  <c r="D24" i="17"/>
  <c r="D23" i="17"/>
  <c r="D22" i="17"/>
  <c r="F21" i="17"/>
  <c r="E21" i="17"/>
  <c r="D21" i="17"/>
  <c r="C24" i="17"/>
  <c r="C23" i="17"/>
  <c r="C22" i="17"/>
  <c r="C21" i="17"/>
  <c r="F16" i="17"/>
  <c r="F15" i="17"/>
  <c r="F14" i="17"/>
  <c r="E16" i="17"/>
  <c r="E15" i="17"/>
  <c r="E14" i="17"/>
  <c r="D16" i="17"/>
  <c r="D15" i="17"/>
  <c r="D14" i="17"/>
  <c r="C16" i="17"/>
  <c r="C15" i="17"/>
  <c r="C14" i="17"/>
  <c r="F13" i="17"/>
  <c r="E13" i="17"/>
  <c r="D13" i="17"/>
  <c r="C13" i="17"/>
  <c r="F8" i="17"/>
  <c r="F7" i="17"/>
  <c r="F6" i="17"/>
  <c r="E8" i="17"/>
  <c r="E7" i="17"/>
  <c r="E6" i="17"/>
  <c r="D8" i="17"/>
  <c r="D7" i="17"/>
  <c r="D6" i="17"/>
  <c r="C8" i="17"/>
  <c r="C7" i="17"/>
  <c r="C6" i="17"/>
  <c r="F5" i="17"/>
  <c r="E5" i="17"/>
  <c r="D5" i="17"/>
  <c r="C5" i="17"/>
  <c r="L7" i="17" l="1"/>
  <c r="L5" i="17"/>
  <c r="L9" i="17"/>
  <c r="L6" i="17"/>
  <c r="AC7" i="21" l="1"/>
  <c r="AB7" i="21"/>
  <c r="AA7" i="21"/>
  <c r="AE6" i="21"/>
  <c r="AD6" i="21"/>
  <c r="AC6" i="21"/>
  <c r="AB6" i="21"/>
  <c r="AA6" i="21"/>
  <c r="AD5" i="21"/>
  <c r="AC5" i="21"/>
  <c r="AB5" i="21"/>
  <c r="AA5" i="21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<sst xmlns="http://schemas.openxmlformats.org/spreadsheetml/2006/main" count="177" uniqueCount="108">
  <si>
    <t>Achievement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</si>
  <si>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</si>
  <si>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</si>
  <si>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</si>
  <si>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</si>
  <si>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</si>
  <si>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</si>
  <si>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</si>
  <si>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</si>
  <si>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Equity Below</t>
  </si>
  <si>
    <t>Equity Meeting</t>
  </si>
  <si>
    <t>Equity Exceeding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</si>
  <si>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</si>
  <si>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</si>
  <si>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</si>
  <si>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</si>
  <si>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</si>
  <si>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</si>
  <si>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</si>
  <si>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</si>
  <si>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</si>
  <si>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</si>
  <si>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Matrix values for getting from R.
Do not delete.</t>
  </si>
  <si>
    <t>Matrix values for getting from R.</t>
  </si>
  <si>
    <t>Do not delete.</t>
  </si>
  <si>
    <t>Meeting Targets</t>
  </si>
  <si>
    <t>Indicators and Performance Level for State of Wyoming (High School)</t>
  </si>
  <si>
    <t>% of all</t>
  </si>
  <si>
    <t>1-14</t>
  </si>
  <si>
    <t>15-17</t>
  </si>
  <si>
    <t>18-20</t>
  </si>
  <si>
    <t>21-25</t>
  </si>
  <si>
    <t>1-15</t>
  </si>
  <si>
    <t>16-18</t>
  </si>
  <si>
    <t>19-21</t>
  </si>
  <si>
    <t>22-32</t>
  </si>
  <si>
    <t>1-16</t>
  </si>
  <si>
    <t>21-24</t>
  </si>
  <si>
    <t>25-36</t>
  </si>
  <si>
    <t>Used for sending values to R</t>
  </si>
  <si>
    <t>b</t>
  </si>
  <si>
    <t>a</t>
  </si>
  <si>
    <t>c</t>
  </si>
  <si>
    <t>d</t>
  </si>
  <si>
    <t>e</t>
  </si>
  <si>
    <t>Hathaway Index</t>
  </si>
  <si>
    <t>Not Elligible</t>
  </si>
  <si>
    <t>Provisional</t>
  </si>
  <si>
    <t>Opportunity</t>
  </si>
  <si>
    <t>Performance</t>
  </si>
  <si>
    <t>Honors</t>
  </si>
  <si>
    <t>Equity</t>
  </si>
  <si>
    <t>Additional Readiness</t>
  </si>
  <si>
    <t>Graduation Rate</t>
  </si>
  <si>
    <t>Tested Readiness Index</t>
  </si>
  <si>
    <t>17-20</t>
  </si>
  <si>
    <t>EXPLORE</t>
  </si>
  <si>
    <t>PLAN</t>
  </si>
  <si>
    <t>ACT</t>
  </si>
  <si>
    <t>Alt</t>
  </si>
  <si>
    <t>25%</t>
  </si>
  <si>
    <t>50%</t>
  </si>
  <si>
    <t>75%</t>
  </si>
  <si>
    <t>100%</t>
  </si>
  <si>
    <t>Additional Readiness Weights</t>
  </si>
  <si>
    <t>Tested Readiness</t>
  </si>
  <si>
    <t>Grade 9 Credits</t>
  </si>
  <si>
    <t>Additional Readiness Below</t>
  </si>
  <si>
    <t>Additional Readiness Meeting</t>
  </si>
  <si>
    <t>Additional Readiness Exceeding</t>
  </si>
  <si>
    <t>Graduation Rate Below</t>
  </si>
  <si>
    <t>Graduation Rate Meeting</t>
  </si>
  <si>
    <t>Graduation Rate Exceeding</t>
  </si>
  <si>
    <t>Additional Readiness Undefined</t>
  </si>
  <si>
    <t>Graduation Rate Undefined</t>
  </si>
  <si>
    <t>Achievement Undefined</t>
  </si>
  <si>
    <t>Equity Undefined</t>
  </si>
  <si>
    <t>Additional Readiness &amp; Grad Rate  Below</t>
  </si>
  <si>
    <t>Additional Readiness &amp; Grad Rate Meeting</t>
  </si>
  <si>
    <t>Additional Readiness &amp; Grad Rate Exceeding</t>
  </si>
  <si>
    <t>Achievement &amp; Equity Below</t>
  </si>
  <si>
    <t>Achievement &amp; Equity Meeting</t>
  </si>
  <si>
    <t>Achievement &amp; Equity Exceeding</t>
  </si>
  <si>
    <t>Overall Readiness Decision Table</t>
  </si>
  <si>
    <t>Academic Performance Decision Table</t>
  </si>
  <si>
    <t>School Performance Level Decision Table</t>
  </si>
  <si>
    <t>Overall Readiness &amp; Academic Performance Defined</t>
  </si>
  <si>
    <t>Small Schools: Missing Either Overall Readiness or Academic Performance or Both</t>
  </si>
  <si>
    <t>All Schools</t>
  </si>
  <si>
    <t>Alternative Schools</t>
  </si>
  <si>
    <t>Non-alternative Schools</t>
  </si>
  <si>
    <t>Graduation Rate Category</t>
  </si>
  <si>
    <t>Alternative Schools Excluded</t>
  </si>
  <si>
    <t>Alternative Schools Only</t>
  </si>
  <si>
    <t>4-year on-time, Before Improvement Applied</t>
  </si>
  <si>
    <t>Extended Rate</t>
  </si>
  <si>
    <r>
      <t>4-year on-time (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&gt;=10), After Improvement Applied</t>
    </r>
  </si>
  <si>
    <t>Overall Readiness</t>
  </si>
  <si>
    <t>Academic Performance</t>
  </si>
  <si>
    <t>Additional Readiness &amp; Grad Rate Undefined</t>
  </si>
  <si>
    <t>Achievement &amp; Equity Undefined</t>
  </si>
  <si>
    <t>SCHOOL_ID</t>
  </si>
  <si>
    <t>length</t>
  </si>
  <si>
    <t>Not Meeting Targets</t>
  </si>
  <si>
    <t>Meeting Expectations</t>
  </si>
  <si>
    <t>4 year</t>
  </si>
  <si>
    <t>exteneded</t>
  </si>
  <si>
    <t>improvement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</si>
</sst>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6" xfId="0" applyFont="1" applyFill="1" applyBorder="1" applyAlignment="1">
      <alignment horizontal="center" wrapText="1"/>
    </xf>
    <xf numFmtId="0" fontId="0" fillId="4" borderId="7" xfId="0" applyFill="1" applyBorder="1"/>
    <xf numFmtId="0" fontId="0" fillId="2" borderId="7" xfId="0" applyFill="1" applyBorder="1"/>
    <xf numFmtId="0" fontId="0" fillId="3" borderId="7" xfId="0" applyFill="1" applyBorder="1"/>
    <xf numFmtId="0" fontId="0" fillId="5" borderId="7" xfId="0" applyFill="1" applyBorder="1"/>
    <xf numFmtId="0" fontId="0" fillId="0" borderId="4" xfId="0" applyBorder="1"/>
    <xf numFmtId="0" fontId="0" fillId="0" borderId="6" xfId="0" applyBorder="1"/>
    <xf numFmtId="0" fontId="0" fillId="6" borderId="7" xfId="0" applyFill="1" applyBorder="1"/>
    <xf numFmtId="0" fontId="1" fillId="0" borderId="9" xfId="0" applyFont="1" applyBorder="1" applyAlignment="1">
      <alignment horizontal="center"/>
    </xf>
    <xf numFmtId="10" fontId="0" fillId="4" borderId="7" xfId="0" applyNumberFormat="1" applyFill="1" applyBorder="1"/>
    <xf numFmtId="10" fontId="0" fillId="2" borderId="7" xfId="0" applyNumberFormat="1" applyFill="1" applyBorder="1"/>
    <xf numFmtId="10" fontId="0" fillId="3" borderId="7" xfId="0" applyNumberFormat="1" applyFill="1" applyBorder="1"/>
    <xf numFmtId="10" fontId="0" fillId="5" borderId="7" xfId="0" applyNumberFormat="1" applyFill="1" applyBorder="1"/>
    <xf numFmtId="10" fontId="0" fillId="6" borderId="7" xfId="0" applyNumberFormat="1" applyFill="1" applyBorder="1"/>
    <xf numFmtId="0" fontId="0" fillId="0" borderId="8" xfId="0" applyBorder="1" applyAlignment="1">
      <alignment horizontal="center"/>
    </xf>
    <xf numFmtId="0" fontId="0" fillId="0" borderId="0" xfId="0" applyAlignment="1"/>
    <xf numFmtId="49" fontId="0" fillId="0" borderId="6" xfId="0" applyNumberFormat="1" applyBorder="1"/>
    <xf numFmtId="0" fontId="0" fillId="7" borderId="8" xfId="0" applyFill="1" applyBorder="1"/>
    <xf numFmtId="0" fontId="0" fillId="0" borderId="0" xfId="0" applyAlignment="1">
      <alignment horizontal="right"/>
    </xf>
    <xf numFmtId="9" fontId="0" fillId="7" borderId="8" xfId="0" applyNumberFormat="1" applyFill="1" applyBorder="1"/>
    <xf numFmtId="9" fontId="0" fillId="0" borderId="0" xfId="0" applyNumberFormat="1"/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Fill="1" applyBorder="1"/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2" xfId="0" applyBorder="1" applyAlignment="1"/>
    <xf numFmtId="0" fontId="0" fillId="0" borderId="10" xfId="0" applyBorder="1" applyAlignment="1"/>
    <xf numFmtId="0" fontId="1" fillId="4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0" fontId="0" fillId="0" borderId="11" xfId="0" applyNumberFormat="1" applyBorder="1" applyAlignment="1">
      <alignment horizontal="center" vertical="center" wrapText="1"/>
    </xf>
    <xf numFmtId="1" fontId="0" fillId="0" borderId="11" xfId="0" applyNumberFormat="1" applyBorder="1" applyAlignment="1">
      <alignment horizontal="center" vertical="center" wrapText="1"/>
    </xf>
    <xf numFmtId="0" fontId="0" fillId="0" borderId="14" xfId="0" applyBorder="1"/>
    <xf numFmtId="0" fontId="0" fillId="0" borderId="13" xfId="0" applyBorder="1" applyAlignment="1"/>
    <xf numFmtId="0" fontId="0" fillId="0" borderId="1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60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0</xdr:colOff>
          <xdr:row>5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</xdr:row>
          <xdr:rowOff>76200</xdr:rowOff>
        </xdr:from>
        <xdr:to>
          <xdr:col>8</xdr:col>
          <xdr:colOff>857250</xdr:colOff>
          <xdr:row>4</xdr:row>
          <xdr:rowOff>104775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0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752475</xdr:colOff>
          <xdr:row>4</xdr:row>
          <xdr:rowOff>180975</xdr:rowOff>
        </xdr:from>
        <xdr:to>
          <xdr:col>8</xdr:col>
          <xdr:colOff>1466</xdr:colOff>
          <xdr:row>6</xdr:row>
          <xdr:rowOff>2198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8"/>
  <sheetViews>
    <sheetView tabSelected="1" topLeftCell="C1" zoomScale="130" zoomScaleNormal="130" workbookViewId="0">
      <selection activeCell="E8" sqref="E8"/>
    </sheetView>
  </sheetViews>
  <sheetFormatPr defaultRowHeight="15" x14ac:dyDescent="0.25"/>
  <cols>
    <col min="1" max="1" width="13.28515625" customWidth="1"/>
    <col min="2" max="2" width="7.85546875" customWidth="1"/>
    <col min="3" max="3" width="23.28515625" customWidth="1"/>
    <col min="4" max="4" width="7.7109375" bestFit="1" customWidth="1"/>
    <col min="5" max="5" width="8" bestFit="1" customWidth="1"/>
  </cols>
  <sheetData>
    <row r="3" spans="3:5" ht="15.75" thickBot="1" x14ac:dyDescent="0.3"/>
    <row r="4" spans="3:5" ht="15.75" thickBot="1" x14ac:dyDescent="0.3">
      <c r="D4" s="15" t="s">
        <v>15</v>
      </c>
      <c r="E4" s="15" t="s">
        <v>16</v>
      </c>
    </row>
    <row r="5" spans="3:5" ht="15.75" thickBot="1" x14ac:dyDescent="0.3">
      <c r="C5" s="15" t="s">
        <v>0</v>
      </c>
      <c r="D5" s="10">
        <v>28</v>
      </c>
      <c r="E5" s="12">
        <v>38</v>
      </c>
    </row>
    <row r="6" spans="3:5" ht="15.75" thickBot="1" x14ac:dyDescent="0.3">
      <c r="C6" s="14" t="s">
        <v>51</v>
      </c>
      <c r="D6" s="10">
        <v>121</v>
      </c>
      <c r="E6" s="12">
        <v>126</v>
      </c>
    </row>
    <row r="7" spans="3:5" ht="15.75" thickBot="1" x14ac:dyDescent="0.3">
      <c r="C7" s="14" t="s">
        <v>53</v>
      </c>
      <c r="D7" s="10">
        <v>80</v>
      </c>
      <c r="E7" s="12">
        <v>90</v>
      </c>
    </row>
    <row r="8" spans="3:5" ht="15.75" thickBot="1" x14ac:dyDescent="0.3">
      <c r="C8" s="14" t="s">
        <v>52</v>
      </c>
      <c r="D8" s="10">
        <v>58</v>
      </c>
      <c r="E8" s="12">
        <v>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7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AE12"/>
  <sheetViews>
    <sheetView topLeftCell="B1" zoomScale="130" zoomScaleNormal="130" workbookViewId="0">
      <selection activeCell="C14" sqref="C14"/>
    </sheetView>
  </sheetViews>
  <sheetFormatPr defaultColWidth="17" defaultRowHeight="15" x14ac:dyDescent="0.25"/>
  <cols>
    <col min="2" max="2" width="3.85546875" customWidth="1"/>
    <col min="3" max="3" width="28.140625" customWidth="1"/>
  </cols>
  <sheetData>
    <row r="1" spans="3:31" ht="15.75" thickBot="1" x14ac:dyDescent="0.3">
      <c r="C1" s="27" t="s">
        <v>59</v>
      </c>
      <c r="D1" s="25" t="s">
        <v>60</v>
      </c>
      <c r="E1" s="25" t="s">
        <v>61</v>
      </c>
      <c r="F1" s="25" t="s">
        <v>62</v>
      </c>
      <c r="G1" s="25" t="s">
        <v>63</v>
      </c>
    </row>
    <row r="2" spans="3:31" ht="15.75" thickBot="1" x14ac:dyDescent="0.3">
      <c r="C2" s="27" t="s">
        <v>58</v>
      </c>
      <c r="D2" s="25" t="s">
        <v>36</v>
      </c>
      <c r="E2" s="25" t="s">
        <v>55</v>
      </c>
      <c r="F2" s="25" t="s">
        <v>37</v>
      </c>
      <c r="G2" s="25" t="s">
        <v>38</v>
      </c>
    </row>
    <row r="3" spans="3:31" ht="15.75" thickBot="1" x14ac:dyDescent="0.3">
      <c r="C3" s="27" t="s">
        <v>57</v>
      </c>
      <c r="D3" s="25" t="s">
        <v>32</v>
      </c>
      <c r="E3" s="25" t="s">
        <v>33</v>
      </c>
      <c r="F3" s="25" t="s">
        <v>34</v>
      </c>
      <c r="G3" s="25" t="s">
        <v>35</v>
      </c>
      <c r="Z3" t="s">
        <v>39</v>
      </c>
    </row>
    <row r="4" spans="3:31" ht="15.75" thickBot="1" x14ac:dyDescent="0.3">
      <c r="C4" s="27" t="s">
        <v>56</v>
      </c>
      <c r="D4" s="25" t="s">
        <v>28</v>
      </c>
      <c r="E4" s="25" t="s">
        <v>29</v>
      </c>
      <c r="F4" s="25" t="s">
        <v>30</v>
      </c>
      <c r="G4" s="25" t="s">
        <v>31</v>
      </c>
      <c r="AA4" t="s">
        <v>41</v>
      </c>
      <c r="AB4" t="s">
        <v>40</v>
      </c>
      <c r="AC4" t="s">
        <v>42</v>
      </c>
      <c r="AD4" t="s">
        <v>43</v>
      </c>
      <c r="AE4" t="s">
        <v>44</v>
      </c>
    </row>
    <row r="5" spans="3:31" ht="15.75" thickBot="1" x14ac:dyDescent="0.3">
      <c r="C5" s="15" t="s">
        <v>54</v>
      </c>
      <c r="D5" s="26">
        <v>20</v>
      </c>
      <c r="E5" s="26">
        <v>50</v>
      </c>
      <c r="F5" s="26">
        <v>80</v>
      </c>
      <c r="G5" s="26">
        <v>100</v>
      </c>
      <c r="AA5">
        <f>D5</f>
        <v>20</v>
      </c>
      <c r="AB5">
        <f t="shared" ref="AB5:AD5" si="0">E5</f>
        <v>50</v>
      </c>
      <c r="AC5">
        <f t="shared" si="0"/>
        <v>80</v>
      </c>
      <c r="AD5">
        <f t="shared" si="0"/>
        <v>100</v>
      </c>
    </row>
    <row r="6" spans="3:31" x14ac:dyDescent="0.25">
      <c r="AA6">
        <f>D9</f>
        <v>20</v>
      </c>
      <c r="AB6">
        <f>E9</f>
        <v>40</v>
      </c>
      <c r="AC6">
        <f>F9</f>
        <v>60</v>
      </c>
      <c r="AD6">
        <f>G9</f>
        <v>80</v>
      </c>
      <c r="AE6">
        <f>H9</f>
        <v>100</v>
      </c>
    </row>
    <row r="7" spans="3:31" ht="15.75" thickBot="1" x14ac:dyDescent="0.3">
      <c r="AA7" s="29">
        <f>D12</f>
        <v>0.35</v>
      </c>
      <c r="AB7" s="29">
        <f>E12</f>
        <v>0.15</v>
      </c>
      <c r="AC7" s="29">
        <f>F12</f>
        <v>0.5</v>
      </c>
    </row>
    <row r="8" spans="3:31" ht="15.75" thickBot="1" x14ac:dyDescent="0.3">
      <c r="D8" s="25" t="s">
        <v>46</v>
      </c>
      <c r="E8" s="25" t="s">
        <v>47</v>
      </c>
      <c r="F8" s="25" t="s">
        <v>48</v>
      </c>
      <c r="G8" s="25" t="s">
        <v>49</v>
      </c>
      <c r="H8" s="25" t="s">
        <v>50</v>
      </c>
    </row>
    <row r="9" spans="3:31" ht="15.75" thickBot="1" x14ac:dyDescent="0.3">
      <c r="C9" s="15" t="s">
        <v>45</v>
      </c>
      <c r="D9" s="26">
        <v>20</v>
      </c>
      <c r="E9" s="26">
        <v>40</v>
      </c>
      <c r="F9" s="26">
        <v>60</v>
      </c>
      <c r="G9" s="26">
        <v>80</v>
      </c>
      <c r="H9" s="26">
        <v>100</v>
      </c>
    </row>
    <row r="10" spans="3:31" ht="15.75" thickBot="1" x14ac:dyDescent="0.3"/>
    <row r="11" spans="3:31" ht="15.75" thickBot="1" x14ac:dyDescent="0.3">
      <c r="D11" s="25" t="s">
        <v>65</v>
      </c>
      <c r="E11" s="25" t="s">
        <v>66</v>
      </c>
      <c r="F11" s="25" t="s">
        <v>45</v>
      </c>
    </row>
    <row r="12" spans="3:31" ht="15.75" thickBot="1" x14ac:dyDescent="0.3">
      <c r="C12" s="15" t="s">
        <v>64</v>
      </c>
      <c r="D12" s="28">
        <v>0.35</v>
      </c>
      <c r="E12" s="28">
        <v>0.15</v>
      </c>
      <c r="F12" s="28">
        <v>0.5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PutIndeces">
                <anchor moveWithCells="1">
                  <from>
                    <xdr:col>8</xdr:col>
                    <xdr:colOff>190500</xdr:colOff>
                    <xdr:row>3</xdr:row>
                    <xdr:rowOff>76200</xdr:rowOff>
                  </from>
                  <to>
                    <xdr:col>8</xdr:col>
                    <xdr:colOff>857250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3"/>
  <sheetViews>
    <sheetView zoomScale="110" zoomScaleNormal="110" workbookViewId="0">
      <selection activeCell="Z19" sqref="Z19"/>
    </sheetView>
  </sheetViews>
  <sheetFormatPr defaultColWidth="17.5703125" defaultRowHeight="15" x14ac:dyDescent="0.25"/>
  <cols>
    <col min="2" max="2" width="36.28515625" customWidth="1"/>
    <col min="3" max="3" width="18.85546875" customWidth="1"/>
  </cols>
  <sheetData>
    <row r="2" spans="2:29" x14ac:dyDescent="0.25">
      <c r="B2" s="37"/>
      <c r="C2" s="37"/>
      <c r="D2" s="37"/>
      <c r="E2" s="37"/>
      <c r="F2" s="37"/>
    </row>
    <row r="3" spans="2:29" ht="19.5" thickBot="1" x14ac:dyDescent="0.35">
      <c r="B3" s="38" t="s">
        <v>83</v>
      </c>
      <c r="C3" s="39"/>
      <c r="D3" s="39"/>
      <c r="E3" s="39"/>
      <c r="F3" s="1"/>
    </row>
    <row r="4" spans="2:29" ht="45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Y4" s="8" t="s">
        <v>17</v>
      </c>
      <c r="AA4" t="s">
        <v>12</v>
      </c>
      <c r="AB4" t="s">
        <v>13</v>
      </c>
      <c r="AC4" t="s">
        <v>14</v>
      </c>
    </row>
    <row r="5" spans="2:29" ht="15.75" thickBot="1" x14ac:dyDescent="0.3">
      <c r="B5" s="4" t="s">
        <v>67</v>
      </c>
      <c r="C5" s="4">
        <v>1</v>
      </c>
      <c r="D5" s="4">
        <v>1</v>
      </c>
      <c r="E5" s="4">
        <v>1</v>
      </c>
      <c r="F5" s="4">
        <v>1</v>
      </c>
      <c r="AA5">
        <f>C5</f>
        <v>1</v>
      </c>
      <c r="AB5">
        <f t="shared" ref="AB5:AC7" si="0">D5</f>
        <v>1</v>
      </c>
      <c r="AC5">
        <f t="shared" si="0"/>
        <v>1</v>
      </c>
    </row>
    <row r="6" spans="2:29" ht="15.75" thickBot="1" x14ac:dyDescent="0.3">
      <c r="B6" s="5" t="s">
        <v>68</v>
      </c>
      <c r="C6" s="4">
        <v>1</v>
      </c>
      <c r="D6" s="4">
        <v>2</v>
      </c>
      <c r="E6" s="4">
        <v>2</v>
      </c>
      <c r="F6" s="4">
        <v>2</v>
      </c>
      <c r="AA6">
        <f t="shared" ref="AA6:AA7" si="1">C6</f>
        <v>1</v>
      </c>
      <c r="AB6">
        <f t="shared" si="0"/>
        <v>2</v>
      </c>
      <c r="AC6">
        <f t="shared" si="0"/>
        <v>2</v>
      </c>
    </row>
    <row r="7" spans="2:29" ht="15.75" thickBot="1" x14ac:dyDescent="0.3">
      <c r="B7" s="6" t="s">
        <v>69</v>
      </c>
      <c r="C7" s="4">
        <v>1</v>
      </c>
      <c r="D7" s="4">
        <v>2</v>
      </c>
      <c r="E7" s="4">
        <v>3</v>
      </c>
      <c r="F7" s="4">
        <v>3</v>
      </c>
      <c r="AA7">
        <f t="shared" si="1"/>
        <v>1</v>
      </c>
      <c r="AB7">
        <f t="shared" si="0"/>
        <v>2</v>
      </c>
      <c r="AC7">
        <f t="shared" si="0"/>
        <v>3</v>
      </c>
    </row>
    <row r="8" spans="2:29" ht="15.75" thickBot="1" x14ac:dyDescent="0.3">
      <c r="B8" s="6" t="s">
        <v>73</v>
      </c>
      <c r="C8" s="4">
        <v>1</v>
      </c>
      <c r="D8" s="4">
        <v>2</v>
      </c>
      <c r="E8" s="4">
        <v>3</v>
      </c>
      <c r="F8" s="45"/>
      <c r="AA8">
        <f>C13</f>
        <v>1</v>
      </c>
      <c r="AB8">
        <f>D13</f>
        <v>1</v>
      </c>
      <c r="AC8">
        <f>E13</f>
        <v>1</v>
      </c>
    </row>
    <row r="9" spans="2:29" x14ac:dyDescent="0.25">
      <c r="AA9">
        <f>C14</f>
        <v>1</v>
      </c>
      <c r="AB9">
        <f>D14</f>
        <v>2</v>
      </c>
      <c r="AC9">
        <f>E14</f>
        <v>2</v>
      </c>
    </row>
    <row r="10" spans="2:29" x14ac:dyDescent="0.25">
      <c r="AA10">
        <f>C15</f>
        <v>1</v>
      </c>
      <c r="AB10">
        <f>D15</f>
        <v>2</v>
      </c>
      <c r="AC10">
        <f>E15</f>
        <v>3</v>
      </c>
    </row>
    <row r="11" spans="2:29" ht="19.5" thickBot="1" x14ac:dyDescent="0.35">
      <c r="B11" s="38" t="s">
        <v>84</v>
      </c>
      <c r="C11" s="39"/>
      <c r="D11" s="39"/>
      <c r="E11" s="39"/>
      <c r="AA11">
        <f>C21</f>
        <v>1</v>
      </c>
      <c r="AB11">
        <f>D21</f>
        <v>2</v>
      </c>
      <c r="AC11">
        <f>E21</f>
        <v>2</v>
      </c>
    </row>
    <row r="12" spans="2:29" ht="15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AA12">
        <f>C22</f>
        <v>2</v>
      </c>
      <c r="AB12">
        <f>D22</f>
        <v>3</v>
      </c>
      <c r="AC12">
        <f>E22</f>
        <v>3</v>
      </c>
    </row>
    <row r="13" spans="2:29" ht="15.75" thickBot="1" x14ac:dyDescent="0.3">
      <c r="B13" s="4" t="s">
        <v>6</v>
      </c>
      <c r="C13" s="4">
        <v>1</v>
      </c>
      <c r="D13" s="4">
        <v>1</v>
      </c>
      <c r="E13" s="4">
        <v>1</v>
      </c>
      <c r="F13" s="4">
        <v>1</v>
      </c>
      <c r="AA13">
        <f>C23</f>
        <v>2</v>
      </c>
      <c r="AB13">
        <f>D23</f>
        <v>3</v>
      </c>
      <c r="AC13">
        <f>E23</f>
        <v>4</v>
      </c>
    </row>
    <row r="14" spans="2:29" ht="15.75" thickBot="1" x14ac:dyDescent="0.3">
      <c r="B14" s="5" t="s">
        <v>7</v>
      </c>
      <c r="C14" s="4">
        <v>1</v>
      </c>
      <c r="D14" s="4">
        <v>2</v>
      </c>
      <c r="E14" s="4">
        <v>2</v>
      </c>
      <c r="F14" s="4">
        <v>2</v>
      </c>
    </row>
    <row r="15" spans="2:29" ht="15.75" thickBot="1" x14ac:dyDescent="0.3">
      <c r="B15" s="6" t="s">
        <v>8</v>
      </c>
      <c r="C15" s="4">
        <v>1</v>
      </c>
      <c r="D15" s="4">
        <v>2</v>
      </c>
      <c r="E15" s="4">
        <v>3</v>
      </c>
      <c r="F15" s="4">
        <v>3</v>
      </c>
    </row>
    <row r="16" spans="2:29" ht="15.75" thickBot="1" x14ac:dyDescent="0.3">
      <c r="B16" s="6" t="s">
        <v>75</v>
      </c>
      <c r="C16" s="4">
        <v>1</v>
      </c>
      <c r="D16" s="4">
        <v>2</v>
      </c>
      <c r="E16" s="4">
        <v>3</v>
      </c>
      <c r="F16" s="45"/>
    </row>
    <row r="17" spans="2:27" x14ac:dyDescent="0.25">
      <c r="C17" s="1"/>
      <c r="D17" s="1"/>
      <c r="E17" s="1"/>
      <c r="F17" s="1"/>
    </row>
    <row r="19" spans="2:27" ht="19.5" thickBot="1" x14ac:dyDescent="0.35">
      <c r="B19" s="38" t="s">
        <v>85</v>
      </c>
      <c r="C19" s="39"/>
      <c r="D19" s="39"/>
      <c r="E19" s="39"/>
      <c r="Y19" t="s">
        <v>101</v>
      </c>
      <c r="Z19" t="s">
        <v>102</v>
      </c>
      <c r="AA19">
        <v>0</v>
      </c>
    </row>
    <row r="20" spans="2:27" ht="30.75" thickBot="1" x14ac:dyDescent="0.3">
      <c r="B20" s="2"/>
      <c r="C20" s="3" t="s">
        <v>80</v>
      </c>
      <c r="D20" s="3" t="s">
        <v>81</v>
      </c>
      <c r="E20" s="3" t="s">
        <v>82</v>
      </c>
    </row>
    <row r="21" spans="2:27" ht="15.75" thickBot="1" x14ac:dyDescent="0.3">
      <c r="B21" s="4" t="s">
        <v>77</v>
      </c>
      <c r="C21" s="4">
        <v>1</v>
      </c>
      <c r="D21" s="4">
        <v>2</v>
      </c>
      <c r="E21" s="4">
        <v>2</v>
      </c>
    </row>
    <row r="22" spans="2:27" ht="15.75" thickBot="1" x14ac:dyDescent="0.3">
      <c r="B22" s="5" t="s">
        <v>78</v>
      </c>
      <c r="C22" s="4">
        <v>2</v>
      </c>
      <c r="D22" s="4">
        <v>3</v>
      </c>
      <c r="E22" s="4">
        <v>3</v>
      </c>
    </row>
    <row r="23" spans="2:27" ht="15.75" thickBot="1" x14ac:dyDescent="0.3">
      <c r="B23" s="6" t="s">
        <v>79</v>
      </c>
      <c r="C23" s="4">
        <v>2</v>
      </c>
      <c r="D23" s="4">
        <v>3</v>
      </c>
      <c r="E23" s="4">
        <v>4</v>
      </c>
    </row>
  </sheetData>
  <mergeCells count="4">
    <mergeCell ref="B2:F2"/>
    <mergeCell ref="B3:E3"/>
    <mergeCell ref="B11:E11"/>
    <mergeCell ref="B19:E19"/>
  </mergeCells>
  <conditionalFormatting sqref="F19:F2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F10 F19:F21 F6:F8">
    <cfRule type="expression" dxfId="59" priority="64">
      <formula>D6=4</formula>
    </cfRule>
    <cfRule type="expression" dxfId="58" priority="65">
      <formula>D6=3</formula>
    </cfRule>
    <cfRule type="expression" dxfId="57" priority="66">
      <formula>D6=2</formula>
    </cfRule>
    <cfRule type="expression" dxfId="56" priority="67">
      <formula>D6=1</formula>
    </cfRule>
  </conditionalFormatting>
  <conditionalFormatting sqref="C21:E23">
    <cfRule type="expression" dxfId="55" priority="1">
      <formula>C21=4</formula>
    </cfRule>
    <cfRule type="expression" dxfId="54" priority="2">
      <formula>C21=3</formula>
    </cfRule>
    <cfRule type="expression" dxfId="53" priority="3">
      <formula>C21=2</formula>
    </cfRule>
    <cfRule type="expression" dxfId="52" priority="4">
      <formula>C21=1</formula>
    </cfRule>
  </conditionalFormatting>
  <conditionalFormatting sqref="C5:E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7">
    <cfRule type="expression" dxfId="51" priority="55">
      <formula>C5=4</formula>
    </cfRule>
    <cfRule type="expression" dxfId="50" priority="56">
      <formula>C5=3</formula>
    </cfRule>
    <cfRule type="expression" dxfId="49" priority="57">
      <formula>C5=2</formula>
    </cfRule>
    <cfRule type="expression" dxfId="48" priority="58">
      <formula>C5=1</formula>
    </cfRule>
  </conditionalFormatting>
  <conditionalFormatting sqref="C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">
    <cfRule type="expression" dxfId="47" priority="50">
      <formula>C8=4</formula>
    </cfRule>
    <cfRule type="expression" dxfId="46" priority="51">
      <formula>C8=3</formula>
    </cfRule>
    <cfRule type="expression" dxfId="45" priority="52">
      <formula>C8=2</formula>
    </cfRule>
    <cfRule type="expression" dxfId="44" priority="53">
      <formula>C8=1</formula>
    </cfRule>
  </conditionalFormatting>
  <conditionalFormatting sqref="D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expression" dxfId="43" priority="45">
      <formula>D8=4</formula>
    </cfRule>
    <cfRule type="expression" dxfId="42" priority="46">
      <formula>D8=3</formula>
    </cfRule>
    <cfRule type="expression" dxfId="41" priority="47">
      <formula>D8=2</formula>
    </cfRule>
    <cfRule type="expression" dxfId="40" priority="48">
      <formula>D8=1</formula>
    </cfRule>
  </conditionalFormatting>
  <conditionalFormatting sqref="E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expression" dxfId="39" priority="40">
      <formula>E8=4</formula>
    </cfRule>
    <cfRule type="expression" dxfId="38" priority="41">
      <formula>E8=3</formula>
    </cfRule>
    <cfRule type="expression" dxfId="37" priority="42">
      <formula>E8=2</formula>
    </cfRule>
    <cfRule type="expression" dxfId="36" priority="43">
      <formula>E8=1</formula>
    </cfRule>
  </conditionalFormatting>
  <conditionalFormatting sqref="F5:F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8">
    <cfRule type="expression" dxfId="35" priority="35">
      <formula>F5=4</formula>
    </cfRule>
    <cfRule type="expression" dxfId="34" priority="36">
      <formula>F5=3</formula>
    </cfRule>
    <cfRule type="expression" dxfId="33" priority="37">
      <formula>F5=2</formula>
    </cfRule>
    <cfRule type="expression" dxfId="32" priority="38">
      <formula>F5=1</formula>
    </cfRule>
  </conditionalFormatting>
  <conditionalFormatting sqref="F14:F16">
    <cfRule type="expression" dxfId="31" priority="31">
      <formula>F14=4</formula>
    </cfRule>
    <cfRule type="expression" dxfId="30" priority="32">
      <formula>F14=3</formula>
    </cfRule>
    <cfRule type="expression" dxfId="29" priority="33">
      <formula>F14=2</formula>
    </cfRule>
    <cfRule type="expression" dxfId="28" priority="34">
      <formula>F14=1</formula>
    </cfRule>
  </conditionalFormatting>
  <conditionalFormatting sqref="C13:E1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E15">
    <cfRule type="expression" dxfId="27" priority="26">
      <formula>C13=4</formula>
    </cfRule>
    <cfRule type="expression" dxfId="26" priority="27">
      <formula>C13=3</formula>
    </cfRule>
    <cfRule type="expression" dxfId="25" priority="28">
      <formula>C13=2</formula>
    </cfRule>
    <cfRule type="expression" dxfId="24" priority="29">
      <formula>C13=1</formula>
    </cfRule>
  </conditionalFormatting>
  <conditionalFormatting sqref="C1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">
    <cfRule type="expression" dxfId="23" priority="21">
      <formula>C16=4</formula>
    </cfRule>
    <cfRule type="expression" dxfId="22" priority="22">
      <formula>C16=3</formula>
    </cfRule>
    <cfRule type="expression" dxfId="21" priority="23">
      <formula>C16=2</formula>
    </cfRule>
    <cfRule type="expression" dxfId="20" priority="24">
      <formula>C16=1</formula>
    </cfRule>
  </conditionalFormatting>
  <conditionalFormatting sqref="D1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">
    <cfRule type="expression" dxfId="19" priority="16">
      <formula>D16=4</formula>
    </cfRule>
    <cfRule type="expression" dxfId="18" priority="17">
      <formula>D16=3</formula>
    </cfRule>
    <cfRule type="expression" dxfId="17" priority="18">
      <formula>D16=2</formula>
    </cfRule>
    <cfRule type="expression" dxfId="16" priority="19">
      <formula>D16=1</formula>
    </cfRule>
  </conditionalFormatting>
  <conditionalFormatting sqref="E1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expression" dxfId="15" priority="11">
      <formula>E16=4</formula>
    </cfRule>
    <cfRule type="expression" dxfId="14" priority="12">
      <formula>E16=3</formula>
    </cfRule>
    <cfRule type="expression" dxfId="13" priority="13">
      <formula>E16=2</formula>
    </cfRule>
    <cfRule type="expression" dxfId="12" priority="14">
      <formula>E16=1</formula>
    </cfRule>
  </conditionalFormatting>
  <conditionalFormatting sqref="F13:F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F16">
    <cfRule type="expression" dxfId="11" priority="6">
      <formula>F13=4</formula>
    </cfRule>
    <cfRule type="expression" dxfId="10" priority="7">
      <formula>F13=3</formula>
    </cfRule>
    <cfRule type="expression" dxfId="9" priority="8">
      <formula>F13=2</formula>
    </cfRule>
    <cfRule type="expression" dxfId="8" priority="9">
      <formula>F13=1</formula>
    </cfRule>
  </conditionalFormatting>
  <conditionalFormatting sqref="C21:E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7</xdr:col>
                    <xdr:colOff>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H40"/>
  <sheetViews>
    <sheetView topLeftCell="A9" zoomScaleNormal="100" workbookViewId="0"/>
  </sheetViews>
  <sheetFormatPr defaultColWidth="16.140625" defaultRowHeight="15" x14ac:dyDescent="0.25"/>
  <cols>
    <col min="2" max="2" width="39" customWidth="1"/>
    <col min="3" max="3" width="18" customWidth="1"/>
    <col min="8" max="8" width="16.140625" style="8"/>
    <col min="9" max="9" width="23" customWidth="1"/>
    <col min="10" max="10" width="26.28515625" customWidth="1"/>
    <col min="11" max="11" width="9.85546875" customWidth="1"/>
    <col min="12" max="12" width="11" customWidth="1"/>
    <col min="17" max="17" width="21.85546875" customWidth="1"/>
    <col min="18" max="18" width="21.5703125" customWidth="1"/>
    <col min="19" max="19" width="21.42578125" customWidth="1"/>
    <col min="20" max="20" width="20.85546875" customWidth="1"/>
  </cols>
  <sheetData>
    <row r="2" spans="2:34" x14ac:dyDescent="0.25">
      <c r="B2" s="37"/>
      <c r="C2" s="37"/>
      <c r="D2" s="37"/>
      <c r="E2" s="37"/>
      <c r="F2" s="37"/>
    </row>
    <row r="3" spans="2:34" ht="19.5" thickBot="1" x14ac:dyDescent="0.35">
      <c r="B3" s="38" t="s">
        <v>83</v>
      </c>
      <c r="C3" s="39"/>
      <c r="D3" s="39"/>
      <c r="E3" s="39"/>
      <c r="F3" s="1"/>
    </row>
    <row r="4" spans="2:34" ht="60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H4" s="7"/>
      <c r="I4" s="9" t="s">
        <v>86</v>
      </c>
      <c r="J4" s="9" t="s">
        <v>87</v>
      </c>
      <c r="K4" s="9" t="s">
        <v>88</v>
      </c>
      <c r="L4" s="9" t="s">
        <v>27</v>
      </c>
      <c r="Q4" s="30" t="s">
        <v>91</v>
      </c>
      <c r="R4" s="32" t="s">
        <v>93</v>
      </c>
      <c r="S4" s="32" t="s">
        <v>92</v>
      </c>
      <c r="T4" s="32" t="s">
        <v>88</v>
      </c>
      <c r="AD4" s="8" t="s">
        <v>22</v>
      </c>
    </row>
    <row r="5" spans="2:34" ht="15.75" thickBot="1" x14ac:dyDescent="0.3">
      <c r="B5" s="4" t="s">
        <v>67</v>
      </c>
      <c r="C5" s="42">
        <f>AE5</f>
        <v>21</v>
      </c>
      <c r="D5" s="42">
        <f t="shared" ref="D5:F8" si="0">AF5</f>
        <v>6</v>
      </c>
      <c r="E5" s="42">
        <f t="shared" si="0"/>
        <v>4</v>
      </c>
      <c r="F5" s="42">
        <f t="shared" si="0"/>
        <v>1</v>
      </c>
      <c r="H5" s="9" t="s">
        <v>5</v>
      </c>
      <c r="I5" s="10">
        <f>AE17</f>
        <v>14</v>
      </c>
      <c r="J5" s="10">
        <f t="shared" ref="J5:L10" si="1">AF17</f>
        <v>0</v>
      </c>
      <c r="K5" s="10">
        <f t="shared" si="1"/>
        <v>14</v>
      </c>
      <c r="L5" s="18">
        <f>K5/$K$10</f>
        <v>0.16666666666666666</v>
      </c>
      <c r="Q5" s="34" t="s">
        <v>94</v>
      </c>
      <c r="R5" s="35"/>
      <c r="S5" s="35"/>
      <c r="T5" s="36"/>
      <c r="AE5">
        <v>21</v>
      </c>
      <c r="AF5">
        <v>6</v>
      </c>
      <c r="AG5">
        <v>4</v>
      </c>
      <c r="AH5">
        <v>1</v>
      </c>
    </row>
    <row r="6" spans="2:34" ht="15.75" thickBot="1" x14ac:dyDescent="0.3">
      <c r="B6" s="5" t="s">
        <v>68</v>
      </c>
      <c r="C6" s="42">
        <f t="shared" ref="C6:C8" si="2">AE6</f>
        <v>8</v>
      </c>
      <c r="D6" s="43">
        <f t="shared" si="0"/>
        <v>9</v>
      </c>
      <c r="E6" s="43">
        <f t="shared" si="0"/>
        <v>15</v>
      </c>
      <c r="F6" s="43">
        <f t="shared" si="0"/>
        <v>0</v>
      </c>
      <c r="H6" s="9" t="s">
        <v>4</v>
      </c>
      <c r="I6" s="11">
        <f t="shared" ref="I6:I10" si="3">AE18</f>
        <v>17</v>
      </c>
      <c r="J6" s="11">
        <f t="shared" si="1"/>
        <v>0</v>
      </c>
      <c r="K6" s="11">
        <f t="shared" si="1"/>
        <v>17</v>
      </c>
      <c r="L6" s="19">
        <f t="shared" ref="L6:L9" si="4">K6/$K$10</f>
        <v>0.20238095238095238</v>
      </c>
      <c r="Q6" s="31" t="s">
        <v>5</v>
      </c>
      <c r="R6" s="47">
        <f>AE29/AE$32</f>
        <v>0.93333333333333335</v>
      </c>
      <c r="S6" s="47">
        <f t="shared" ref="S6:T8" si="5">AF29/AF$32</f>
        <v>0.33823529411764708</v>
      </c>
      <c r="T6" s="47">
        <f t="shared" si="5"/>
        <v>0.44578313253012047</v>
      </c>
      <c r="AE6">
        <v>8</v>
      </c>
      <c r="AF6">
        <v>9</v>
      </c>
      <c r="AG6">
        <v>15</v>
      </c>
      <c r="AH6">
        <v>0</v>
      </c>
    </row>
    <row r="7" spans="2:34" ht="15.75" thickBot="1" x14ac:dyDescent="0.3">
      <c r="B7" s="6" t="s">
        <v>69</v>
      </c>
      <c r="C7" s="42">
        <f t="shared" si="2"/>
        <v>2</v>
      </c>
      <c r="D7" s="43">
        <f t="shared" si="0"/>
        <v>7</v>
      </c>
      <c r="E7" s="44">
        <f t="shared" si="0"/>
        <v>10</v>
      </c>
      <c r="F7" s="44">
        <f t="shared" si="0"/>
        <v>0</v>
      </c>
      <c r="H7" s="9" t="s">
        <v>3</v>
      </c>
      <c r="I7" s="12">
        <f t="shared" si="3"/>
        <v>40</v>
      </c>
      <c r="J7" s="12">
        <f t="shared" si="1"/>
        <v>0</v>
      </c>
      <c r="K7" s="12">
        <f t="shared" si="1"/>
        <v>40</v>
      </c>
      <c r="L7" s="20">
        <f t="shared" si="4"/>
        <v>0.47619047619047616</v>
      </c>
      <c r="Q7" s="31" t="s">
        <v>3</v>
      </c>
      <c r="R7" s="47">
        <f t="shared" ref="R7:R8" si="6">AE30/AE$32</f>
        <v>0</v>
      </c>
      <c r="S7" s="47">
        <f t="shared" si="5"/>
        <v>0.33823529411764708</v>
      </c>
      <c r="T7" s="47">
        <f t="shared" si="5"/>
        <v>0.27710843373493976</v>
      </c>
      <c r="AE7">
        <v>2</v>
      </c>
      <c r="AF7">
        <v>7</v>
      </c>
      <c r="AG7">
        <v>10</v>
      </c>
      <c r="AH7">
        <v>0</v>
      </c>
    </row>
    <row r="8" spans="2:34" ht="15.75" thickBot="1" x14ac:dyDescent="0.3">
      <c r="B8" s="6" t="s">
        <v>73</v>
      </c>
      <c r="C8" s="42">
        <f t="shared" si="2"/>
        <v>0</v>
      </c>
      <c r="D8" s="43">
        <f t="shared" si="0"/>
        <v>0</v>
      </c>
      <c r="E8" s="44">
        <f t="shared" si="0"/>
        <v>1</v>
      </c>
      <c r="F8" s="4">
        <f t="shared" si="0"/>
        <v>0</v>
      </c>
      <c r="H8" s="9" t="s">
        <v>2</v>
      </c>
      <c r="I8" s="13">
        <f t="shared" si="3"/>
        <v>9</v>
      </c>
      <c r="J8" s="13">
        <f t="shared" si="1"/>
        <v>0</v>
      </c>
      <c r="K8" s="13">
        <f t="shared" si="1"/>
        <v>9</v>
      </c>
      <c r="L8" s="21">
        <f t="shared" si="4"/>
        <v>0.10714285714285714</v>
      </c>
      <c r="Q8" s="31" t="s">
        <v>2</v>
      </c>
      <c r="R8" s="47">
        <f t="shared" si="6"/>
        <v>6.6666666666666666E-2</v>
      </c>
      <c r="S8" s="47">
        <f t="shared" si="5"/>
        <v>0.3235294117647059</v>
      </c>
      <c r="T8" s="47">
        <f t="shared" si="5"/>
        <v>0.27710843373493976</v>
      </c>
      <c r="AE8">
        <v>0</v>
      </c>
      <c r="AF8">
        <v>0</v>
      </c>
      <c r="AG8">
        <v>1</v>
      </c>
      <c r="AH8">
        <v>0</v>
      </c>
    </row>
    <row r="9" spans="2:34" ht="15.75" thickBot="1" x14ac:dyDescent="0.3">
      <c r="H9" s="9" t="s">
        <v>1</v>
      </c>
      <c r="I9" s="16">
        <f t="shared" si="3"/>
        <v>0</v>
      </c>
      <c r="J9" s="16">
        <f t="shared" si="1"/>
        <v>4</v>
      </c>
      <c r="K9" s="16">
        <f t="shared" si="1"/>
        <v>4</v>
      </c>
      <c r="L9" s="22">
        <f t="shared" si="4"/>
        <v>4.7619047619047616E-2</v>
      </c>
      <c r="Q9" s="34" t="s">
        <v>95</v>
      </c>
      <c r="R9" s="35"/>
      <c r="S9" s="35"/>
      <c r="T9" s="36"/>
      <c r="AE9">
        <v>5</v>
      </c>
      <c r="AF9">
        <v>0</v>
      </c>
      <c r="AG9">
        <v>1</v>
      </c>
      <c r="AH9">
        <v>21</v>
      </c>
    </row>
    <row r="10" spans="2:34" ht="15.75" thickBot="1" x14ac:dyDescent="0.3">
      <c r="I10">
        <f t="shared" si="3"/>
        <v>80</v>
      </c>
      <c r="J10">
        <f t="shared" si="1"/>
        <v>4</v>
      </c>
      <c r="K10">
        <f t="shared" si="1"/>
        <v>84</v>
      </c>
      <c r="Q10" s="31" t="s">
        <v>5</v>
      </c>
      <c r="R10" s="47">
        <f>AE33/AE$36</f>
        <v>0.93333333333333335</v>
      </c>
      <c r="S10" s="47">
        <f t="shared" ref="S10:T12" si="7">AF33/AF$36</f>
        <v>0.3235294117647059</v>
      </c>
      <c r="T10" s="47">
        <f t="shared" si="7"/>
        <v>0.43373493975903615</v>
      </c>
      <c r="AE10">
        <v>6</v>
      </c>
      <c r="AF10">
        <v>8</v>
      </c>
      <c r="AG10">
        <v>2</v>
      </c>
      <c r="AH10">
        <v>6</v>
      </c>
    </row>
    <row r="11" spans="2:34" ht="19.5" thickBot="1" x14ac:dyDescent="0.35">
      <c r="B11" s="38" t="s">
        <v>84</v>
      </c>
      <c r="C11" s="39"/>
      <c r="D11" s="39"/>
      <c r="E11" s="39"/>
      <c r="Q11" s="31" t="s">
        <v>3</v>
      </c>
      <c r="R11" s="47">
        <f t="shared" ref="R11:R12" si="8">AE34/AE$36</f>
        <v>0</v>
      </c>
      <c r="S11" s="47">
        <f t="shared" si="7"/>
        <v>0.3235294117647059</v>
      </c>
      <c r="T11" s="47">
        <f t="shared" si="7"/>
        <v>0.26506024096385544</v>
      </c>
      <c r="AE11">
        <v>1</v>
      </c>
      <c r="AF11">
        <v>7</v>
      </c>
      <c r="AG11">
        <v>12</v>
      </c>
      <c r="AH11">
        <v>11</v>
      </c>
    </row>
    <row r="12" spans="2:34" ht="30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H12" s="7"/>
      <c r="I12" s="9" t="s">
        <v>89</v>
      </c>
      <c r="J12" s="9" t="s">
        <v>90</v>
      </c>
      <c r="K12" s="9" t="s">
        <v>88</v>
      </c>
      <c r="Q12" s="31" t="s">
        <v>2</v>
      </c>
      <c r="R12" s="47">
        <f t="shared" si="8"/>
        <v>6.6666666666666666E-2</v>
      </c>
      <c r="S12" s="47">
        <f t="shared" si="7"/>
        <v>0.35294117647058826</v>
      </c>
      <c r="T12" s="47">
        <f t="shared" si="7"/>
        <v>0.30120481927710846</v>
      </c>
      <c r="AE12">
        <v>0</v>
      </c>
      <c r="AF12">
        <v>0</v>
      </c>
      <c r="AG12">
        <v>0</v>
      </c>
      <c r="AH12">
        <v>4</v>
      </c>
    </row>
    <row r="13" spans="2:34" ht="15.75" thickBot="1" x14ac:dyDescent="0.3">
      <c r="B13" s="4" t="s">
        <v>6</v>
      </c>
      <c r="C13" s="42">
        <f>AE9</f>
        <v>5</v>
      </c>
      <c r="D13" s="42">
        <f t="shared" ref="D13:F16" si="9">AF9</f>
        <v>0</v>
      </c>
      <c r="E13" s="42">
        <f t="shared" si="9"/>
        <v>1</v>
      </c>
      <c r="F13" s="42">
        <f t="shared" si="9"/>
        <v>21</v>
      </c>
      <c r="H13" s="9" t="s">
        <v>5</v>
      </c>
      <c r="I13" s="18">
        <f>AE23/AE$28</f>
        <v>0.73333333333333328</v>
      </c>
      <c r="J13" s="18">
        <f t="shared" ref="J13:K17" si="10">AF23/AF$28</f>
        <v>4.3478260869565216E-2</v>
      </c>
      <c r="K13" s="18">
        <f t="shared" si="10"/>
        <v>0.16666666666666666</v>
      </c>
      <c r="Q13" s="34" t="s">
        <v>96</v>
      </c>
      <c r="R13" s="35"/>
      <c r="S13" s="35"/>
      <c r="T13" s="36"/>
      <c r="AE13">
        <v>14</v>
      </c>
      <c r="AF13">
        <v>4</v>
      </c>
      <c r="AG13">
        <v>1</v>
      </c>
      <c r="AH13">
        <v>3</v>
      </c>
    </row>
    <row r="14" spans="2:34" ht="15.75" thickBot="1" x14ac:dyDescent="0.3">
      <c r="B14" s="5" t="s">
        <v>7</v>
      </c>
      <c r="C14" s="42">
        <f t="shared" ref="C14:C16" si="11">AE10</f>
        <v>6</v>
      </c>
      <c r="D14" s="43">
        <f t="shared" si="9"/>
        <v>8</v>
      </c>
      <c r="E14" s="43">
        <f t="shared" si="9"/>
        <v>2</v>
      </c>
      <c r="F14" s="43">
        <f t="shared" si="9"/>
        <v>6</v>
      </c>
      <c r="H14" s="9" t="s">
        <v>4</v>
      </c>
      <c r="I14" s="19">
        <f t="shared" ref="I14:I17" si="12">AE24/AE$28</f>
        <v>0.13333333333333333</v>
      </c>
      <c r="J14" s="19">
        <f t="shared" si="10"/>
        <v>0.21739130434782608</v>
      </c>
      <c r="K14" s="19">
        <f t="shared" si="10"/>
        <v>0.20238095238095238</v>
      </c>
      <c r="Q14" s="31" t="s">
        <v>5</v>
      </c>
      <c r="R14" s="47">
        <f>AE37/AE$40</f>
        <v>0.8</v>
      </c>
      <c r="S14" s="47">
        <f t="shared" ref="S14:T16" si="13">AF37/AF$40</f>
        <v>0.27941176470588236</v>
      </c>
      <c r="T14" s="47">
        <f t="shared" si="13"/>
        <v>0.37349397590361444</v>
      </c>
      <c r="AE14">
        <v>11</v>
      </c>
      <c r="AF14">
        <v>27</v>
      </c>
      <c r="AG14">
        <v>13</v>
      </c>
      <c r="AH14">
        <v>0</v>
      </c>
    </row>
    <row r="15" spans="2:34" ht="15.75" thickBot="1" x14ac:dyDescent="0.3">
      <c r="B15" s="6" t="s">
        <v>8</v>
      </c>
      <c r="C15" s="42">
        <f t="shared" si="11"/>
        <v>1</v>
      </c>
      <c r="D15" s="43">
        <f t="shared" si="9"/>
        <v>7</v>
      </c>
      <c r="E15" s="44">
        <f t="shared" si="9"/>
        <v>12</v>
      </c>
      <c r="F15" s="44">
        <f t="shared" si="9"/>
        <v>11</v>
      </c>
      <c r="H15" s="9" t="s">
        <v>3</v>
      </c>
      <c r="I15" s="20">
        <f t="shared" si="12"/>
        <v>0</v>
      </c>
      <c r="J15" s="20">
        <f t="shared" si="10"/>
        <v>0.57971014492753625</v>
      </c>
      <c r="K15" s="20">
        <f t="shared" si="10"/>
        <v>0.47619047619047616</v>
      </c>
      <c r="Q15" s="31" t="s">
        <v>3</v>
      </c>
      <c r="R15" s="47">
        <f t="shared" ref="R15:R16" si="14">AE38/AE$40</f>
        <v>0.13333333333333333</v>
      </c>
      <c r="S15" s="47">
        <f t="shared" si="13"/>
        <v>0.29411764705882354</v>
      </c>
      <c r="T15" s="47">
        <f t="shared" si="13"/>
        <v>0.26506024096385544</v>
      </c>
      <c r="AE15">
        <v>1</v>
      </c>
      <c r="AF15">
        <v>0</v>
      </c>
      <c r="AG15">
        <v>9</v>
      </c>
      <c r="AH15">
        <v>1</v>
      </c>
    </row>
    <row r="16" spans="2:34" ht="15.75" thickBot="1" x14ac:dyDescent="0.3">
      <c r="B16" s="6" t="s">
        <v>75</v>
      </c>
      <c r="C16" s="42">
        <f t="shared" si="11"/>
        <v>0</v>
      </c>
      <c r="D16" s="43">
        <f t="shared" si="9"/>
        <v>0</v>
      </c>
      <c r="E16" s="44">
        <f t="shared" si="9"/>
        <v>0</v>
      </c>
      <c r="F16" s="4">
        <f t="shared" si="9"/>
        <v>4</v>
      </c>
      <c r="H16" s="9" t="s">
        <v>2</v>
      </c>
      <c r="I16" s="21">
        <f t="shared" si="12"/>
        <v>0</v>
      </c>
      <c r="J16" s="21">
        <f t="shared" si="10"/>
        <v>0.13043478260869565</v>
      </c>
      <c r="K16" s="21">
        <f t="shared" si="10"/>
        <v>0.10714285714285714</v>
      </c>
      <c r="Q16" s="31" t="s">
        <v>2</v>
      </c>
      <c r="R16" s="47">
        <f t="shared" si="14"/>
        <v>6.6666666666666666E-2</v>
      </c>
      <c r="S16" s="47">
        <f t="shared" si="13"/>
        <v>0.4264705882352941</v>
      </c>
      <c r="T16" s="47">
        <f t="shared" si="13"/>
        <v>0.36144578313253012</v>
      </c>
      <c r="AE16">
        <v>0</v>
      </c>
      <c r="AF16">
        <v>0</v>
      </c>
      <c r="AG16">
        <v>0</v>
      </c>
      <c r="AH16">
        <v>0</v>
      </c>
    </row>
    <row r="17" spans="2:34" ht="15.75" thickBot="1" x14ac:dyDescent="0.3">
      <c r="H17" s="9" t="s">
        <v>1</v>
      </c>
      <c r="I17" s="22">
        <f t="shared" si="12"/>
        <v>0.13333333333333333</v>
      </c>
      <c r="J17" s="22">
        <f t="shared" si="10"/>
        <v>2.8985507246376812E-2</v>
      </c>
      <c r="K17" s="22">
        <f t="shared" si="10"/>
        <v>4.7619047619047616E-2</v>
      </c>
      <c r="AE17">
        <v>14</v>
      </c>
      <c r="AF17">
        <v>0</v>
      </c>
      <c r="AG17">
        <v>14</v>
      </c>
      <c r="AH17" t="e">
        <v>#N/A</v>
      </c>
    </row>
    <row r="18" spans="2:34" x14ac:dyDescent="0.25">
      <c r="AE18">
        <v>17</v>
      </c>
      <c r="AF18">
        <v>0</v>
      </c>
      <c r="AG18">
        <v>17</v>
      </c>
      <c r="AH18" t="e">
        <v>#N/A</v>
      </c>
    </row>
    <row r="19" spans="2:34" ht="19.5" thickBot="1" x14ac:dyDescent="0.35">
      <c r="B19" s="38" t="s">
        <v>85</v>
      </c>
      <c r="C19" s="39"/>
      <c r="D19" s="39"/>
      <c r="E19" s="39"/>
      <c r="F19" s="1"/>
      <c r="AE19">
        <v>40</v>
      </c>
      <c r="AF19">
        <v>0</v>
      </c>
      <c r="AG19">
        <v>40</v>
      </c>
      <c r="AH19" t="e">
        <v>#N/A</v>
      </c>
    </row>
    <row r="20" spans="2:34" ht="30.75" thickBot="1" x14ac:dyDescent="0.3">
      <c r="B20" s="2"/>
      <c r="C20" s="3" t="s">
        <v>80</v>
      </c>
      <c r="D20" s="3" t="s">
        <v>81</v>
      </c>
      <c r="E20" s="3" t="s">
        <v>82</v>
      </c>
      <c r="F20" s="3" t="s">
        <v>100</v>
      </c>
      <c r="Q20" s="30" t="s">
        <v>91</v>
      </c>
      <c r="R20" s="32" t="s">
        <v>93</v>
      </c>
      <c r="S20" s="32" t="s">
        <v>92</v>
      </c>
      <c r="T20" s="32" t="s">
        <v>88</v>
      </c>
      <c r="AE20">
        <v>9</v>
      </c>
      <c r="AF20">
        <v>0</v>
      </c>
      <c r="AG20">
        <v>9</v>
      </c>
      <c r="AH20" t="e">
        <v>#N/A</v>
      </c>
    </row>
    <row r="21" spans="2:34" ht="15.75" thickBot="1" x14ac:dyDescent="0.3">
      <c r="B21" s="4" t="s">
        <v>77</v>
      </c>
      <c r="C21" s="42">
        <f>AE13</f>
        <v>14</v>
      </c>
      <c r="D21" s="43">
        <f t="shared" ref="D21:F24" si="15">AF13</f>
        <v>4</v>
      </c>
      <c r="E21" s="43">
        <f t="shared" si="15"/>
        <v>1</v>
      </c>
      <c r="F21" s="4">
        <f t="shared" si="15"/>
        <v>3</v>
      </c>
      <c r="Q21" s="34" t="s">
        <v>94</v>
      </c>
      <c r="R21" s="35"/>
      <c r="S21" s="35"/>
      <c r="T21" s="36"/>
      <c r="AE21">
        <v>0</v>
      </c>
      <c r="AF21">
        <v>4</v>
      </c>
      <c r="AG21">
        <v>4</v>
      </c>
      <c r="AH21" t="e">
        <v>#N/A</v>
      </c>
    </row>
    <row r="22" spans="2:34" ht="15.75" thickBot="1" x14ac:dyDescent="0.3">
      <c r="B22" s="5" t="s">
        <v>78</v>
      </c>
      <c r="C22" s="43">
        <f t="shared" ref="C22:C24" si="16">AE14</f>
        <v>11</v>
      </c>
      <c r="D22" s="44">
        <f t="shared" si="15"/>
        <v>27</v>
      </c>
      <c r="E22" s="44">
        <f t="shared" si="15"/>
        <v>13</v>
      </c>
      <c r="F22" s="4">
        <f t="shared" si="15"/>
        <v>0</v>
      </c>
      <c r="Q22" s="31" t="s">
        <v>5</v>
      </c>
      <c r="R22" s="48">
        <f>AE29</f>
        <v>14</v>
      </c>
      <c r="S22" s="48">
        <f t="shared" ref="S22:T22" si="17">AF29</f>
        <v>23</v>
      </c>
      <c r="T22" s="48">
        <f t="shared" si="17"/>
        <v>37</v>
      </c>
      <c r="AE22">
        <v>80</v>
      </c>
      <c r="AF22">
        <v>4</v>
      </c>
      <c r="AG22">
        <v>84</v>
      </c>
      <c r="AH22" t="e">
        <v>#N/A</v>
      </c>
    </row>
    <row r="23" spans="2:34" ht="15.75" thickBot="1" x14ac:dyDescent="0.3">
      <c r="B23" s="6" t="s">
        <v>79</v>
      </c>
      <c r="C23" s="43">
        <f t="shared" si="16"/>
        <v>1</v>
      </c>
      <c r="D23" s="44">
        <f t="shared" si="15"/>
        <v>0</v>
      </c>
      <c r="E23" s="46">
        <f t="shared" si="15"/>
        <v>9</v>
      </c>
      <c r="F23" s="4">
        <f t="shared" si="15"/>
        <v>1</v>
      </c>
      <c r="Q23" s="31" t="s">
        <v>3</v>
      </c>
      <c r="R23" s="48">
        <f t="shared" ref="R23:T23" si="18">AE30</f>
        <v>0</v>
      </c>
      <c r="S23" s="48">
        <f t="shared" si="18"/>
        <v>23</v>
      </c>
      <c r="T23" s="48">
        <f t="shared" si="18"/>
        <v>23</v>
      </c>
      <c r="AE23">
        <v>11</v>
      </c>
      <c r="AF23">
        <v>3</v>
      </c>
      <c r="AG23">
        <v>14</v>
      </c>
      <c r="AH23" t="e">
        <v>#N/A</v>
      </c>
    </row>
    <row r="24" spans="2:34" ht="15.75" thickBot="1" x14ac:dyDescent="0.3">
      <c r="B24" s="6" t="s">
        <v>99</v>
      </c>
      <c r="C24" s="4">
        <f t="shared" si="16"/>
        <v>0</v>
      </c>
      <c r="D24" s="4">
        <f t="shared" si="15"/>
        <v>0</v>
      </c>
      <c r="E24" s="4">
        <f t="shared" si="15"/>
        <v>0</v>
      </c>
      <c r="F24" s="4">
        <f t="shared" si="15"/>
        <v>0</v>
      </c>
      <c r="Q24" s="31" t="s">
        <v>2</v>
      </c>
      <c r="R24" s="48">
        <f t="shared" ref="R24:T24" si="19">AE31</f>
        <v>1</v>
      </c>
      <c r="S24" s="48">
        <f t="shared" si="19"/>
        <v>22</v>
      </c>
      <c r="T24" s="48">
        <f t="shared" si="19"/>
        <v>23</v>
      </c>
      <c r="AE24">
        <v>2</v>
      </c>
      <c r="AF24">
        <v>15</v>
      </c>
      <c r="AG24">
        <v>17</v>
      </c>
      <c r="AH24" t="e">
        <v>#N/A</v>
      </c>
    </row>
    <row r="25" spans="2:34" ht="15.75" thickBot="1" x14ac:dyDescent="0.3">
      <c r="Q25" s="34" t="s">
        <v>95</v>
      </c>
      <c r="R25" s="35"/>
      <c r="S25" s="35"/>
      <c r="T25" s="36"/>
      <c r="AE25">
        <v>0</v>
      </c>
      <c r="AF25">
        <v>40</v>
      </c>
      <c r="AG25">
        <v>40</v>
      </c>
      <c r="AH25" t="e">
        <v>#N/A</v>
      </c>
    </row>
    <row r="26" spans="2:34" ht="15.75" thickBot="1" x14ac:dyDescent="0.3">
      <c r="Q26" s="31" t="s">
        <v>5</v>
      </c>
      <c r="R26" s="48">
        <f>AE33</f>
        <v>14</v>
      </c>
      <c r="S26" s="48">
        <f t="shared" ref="S26:T26" si="20">AF33</f>
        <v>22</v>
      </c>
      <c r="T26" s="48">
        <f t="shared" si="20"/>
        <v>36</v>
      </c>
      <c r="AE26">
        <v>0</v>
      </c>
      <c r="AF26">
        <v>9</v>
      </c>
      <c r="AG26">
        <v>9</v>
      </c>
      <c r="AH26" t="e">
        <v>#N/A</v>
      </c>
    </row>
    <row r="27" spans="2:34" ht="15.75" thickBot="1" x14ac:dyDescent="0.3">
      <c r="Q27" s="31" t="s">
        <v>3</v>
      </c>
      <c r="R27" s="48">
        <f t="shared" ref="R27:T27" si="21">AE34</f>
        <v>0</v>
      </c>
      <c r="S27" s="48">
        <f t="shared" si="21"/>
        <v>22</v>
      </c>
      <c r="T27" s="48">
        <f t="shared" si="21"/>
        <v>22</v>
      </c>
      <c r="AE27">
        <v>2</v>
      </c>
      <c r="AF27">
        <v>2</v>
      </c>
      <c r="AG27">
        <v>4</v>
      </c>
      <c r="AH27" t="e">
        <v>#N/A</v>
      </c>
    </row>
    <row r="28" spans="2:34" ht="15.75" thickBot="1" x14ac:dyDescent="0.3">
      <c r="Q28" s="31" t="s">
        <v>2</v>
      </c>
      <c r="R28" s="48">
        <f t="shared" ref="R28:T28" si="22">AE35</f>
        <v>1</v>
      </c>
      <c r="S28" s="48">
        <f t="shared" si="22"/>
        <v>24</v>
      </c>
      <c r="T28" s="48">
        <f t="shared" si="22"/>
        <v>25</v>
      </c>
      <c r="AE28">
        <v>15</v>
      </c>
      <c r="AF28">
        <v>69</v>
      </c>
      <c r="AG28">
        <v>84</v>
      </c>
      <c r="AH28" t="e">
        <v>#N/A</v>
      </c>
    </row>
    <row r="29" spans="2:34" ht="15.75" thickBot="1" x14ac:dyDescent="0.3">
      <c r="Q29" s="34" t="s">
        <v>96</v>
      </c>
      <c r="R29" s="35"/>
      <c r="S29" s="35"/>
      <c r="T29" s="36"/>
      <c r="AE29">
        <v>14</v>
      </c>
      <c r="AF29">
        <v>23</v>
      </c>
      <c r="AG29">
        <v>37</v>
      </c>
      <c r="AH29" t="e">
        <v>#N/A</v>
      </c>
    </row>
    <row r="30" spans="2:34" ht="15.75" thickBot="1" x14ac:dyDescent="0.3">
      <c r="Q30" s="31" t="s">
        <v>5</v>
      </c>
      <c r="R30" s="48">
        <f>AE37</f>
        <v>12</v>
      </c>
      <c r="S30" s="48">
        <f t="shared" ref="S30:T30" si="23">AF37</f>
        <v>19</v>
      </c>
      <c r="T30" s="48">
        <f t="shared" si="23"/>
        <v>31</v>
      </c>
      <c r="AE30">
        <v>0</v>
      </c>
      <c r="AF30">
        <v>23</v>
      </c>
      <c r="AG30">
        <v>23</v>
      </c>
      <c r="AH30" t="e">
        <v>#N/A</v>
      </c>
    </row>
    <row r="31" spans="2:34" ht="15.75" thickBot="1" x14ac:dyDescent="0.3">
      <c r="Q31" s="31" t="s">
        <v>3</v>
      </c>
      <c r="R31" s="48">
        <f t="shared" ref="R31:T31" si="24">AE38</f>
        <v>2</v>
      </c>
      <c r="S31" s="48">
        <f t="shared" si="24"/>
        <v>20</v>
      </c>
      <c r="T31" s="48">
        <f t="shared" si="24"/>
        <v>22</v>
      </c>
      <c r="AE31">
        <v>1</v>
      </c>
      <c r="AF31">
        <v>22</v>
      </c>
      <c r="AG31">
        <v>23</v>
      </c>
      <c r="AH31" t="e">
        <v>#N/A</v>
      </c>
    </row>
    <row r="32" spans="2:34" ht="15.75" thickBot="1" x14ac:dyDescent="0.3">
      <c r="Q32" s="31" t="s">
        <v>2</v>
      </c>
      <c r="R32" s="48">
        <f t="shared" ref="R32:T32" si="25">AE39</f>
        <v>1</v>
      </c>
      <c r="S32" s="48">
        <f t="shared" si="25"/>
        <v>29</v>
      </c>
      <c r="T32" s="48">
        <f t="shared" si="25"/>
        <v>30</v>
      </c>
      <c r="AE32">
        <v>15</v>
      </c>
      <c r="AF32">
        <v>68</v>
      </c>
      <c r="AG32">
        <v>83</v>
      </c>
      <c r="AH32" t="e">
        <v>#N/A</v>
      </c>
    </row>
    <row r="33" spans="31:34" x14ac:dyDescent="0.25">
      <c r="AE33">
        <v>14</v>
      </c>
      <c r="AF33">
        <v>22</v>
      </c>
      <c r="AG33">
        <v>36</v>
      </c>
      <c r="AH33" t="e">
        <v>#N/A</v>
      </c>
    </row>
    <row r="34" spans="31:34" x14ac:dyDescent="0.25">
      <c r="AE34">
        <v>0</v>
      </c>
      <c r="AF34">
        <v>22</v>
      </c>
      <c r="AG34">
        <v>22</v>
      </c>
      <c r="AH34" t="e">
        <v>#N/A</v>
      </c>
    </row>
    <row r="35" spans="31:34" x14ac:dyDescent="0.25">
      <c r="AE35">
        <v>1</v>
      </c>
      <c r="AF35">
        <v>24</v>
      </c>
      <c r="AG35">
        <v>25</v>
      </c>
      <c r="AH35" t="e">
        <v>#N/A</v>
      </c>
    </row>
    <row r="36" spans="31:34" x14ac:dyDescent="0.25">
      <c r="AE36">
        <v>15</v>
      </c>
      <c r="AF36">
        <v>68</v>
      </c>
      <c r="AG36">
        <v>83</v>
      </c>
      <c r="AH36" t="e">
        <v>#N/A</v>
      </c>
    </row>
    <row r="37" spans="31:34" x14ac:dyDescent="0.25">
      <c r="AE37">
        <v>12</v>
      </c>
      <c r="AF37">
        <v>19</v>
      </c>
      <c r="AG37">
        <v>31</v>
      </c>
      <c r="AH37" t="e">
        <v>#N/A</v>
      </c>
    </row>
    <row r="38" spans="31:34" x14ac:dyDescent="0.25">
      <c r="AE38">
        <v>2</v>
      </c>
      <c r="AF38">
        <v>20</v>
      </c>
      <c r="AG38">
        <v>22</v>
      </c>
      <c r="AH38" t="e">
        <v>#N/A</v>
      </c>
    </row>
    <row r="39" spans="31:34" x14ac:dyDescent="0.25">
      <c r="AE39">
        <v>1</v>
      </c>
      <c r="AF39">
        <v>29</v>
      </c>
      <c r="AG39">
        <v>30</v>
      </c>
      <c r="AH39" t="e">
        <v>#N/A</v>
      </c>
    </row>
    <row r="40" spans="31:34" x14ac:dyDescent="0.25">
      <c r="AE40">
        <v>15</v>
      </c>
      <c r="AF40">
        <v>68</v>
      </c>
      <c r="AG40">
        <v>83</v>
      </c>
      <c r="AH40" t="e">
        <v>#N/A</v>
      </c>
    </row>
  </sheetData>
  <mergeCells count="10">
    <mergeCell ref="Q21:T21"/>
    <mergeCell ref="Q25:T25"/>
    <mergeCell ref="Q29:T29"/>
    <mergeCell ref="B2:F2"/>
    <mergeCell ref="B3:E3"/>
    <mergeCell ref="B11:E11"/>
    <mergeCell ref="B19:E19"/>
    <mergeCell ref="Q5:T5"/>
    <mergeCell ref="Q9:T9"/>
    <mergeCell ref="Q13:T13"/>
  </mergeCells>
  <conditionalFormatting sqref="D9:F10 F11">
    <cfRule type="expression" dxfId="7" priority="93">
      <formula>D9=4</formula>
    </cfRule>
    <cfRule type="expression" dxfId="6" priority="94">
      <formula>D9=3</formula>
    </cfRule>
    <cfRule type="expression" dxfId="5" priority="95">
      <formula>D9=2</formula>
    </cfRule>
    <cfRule type="expression" dxfId="4" priority="96">
      <formula>D9=1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D24"/>
  <sheetViews>
    <sheetView topLeftCell="A5" zoomScale="130" zoomScaleNormal="130" workbookViewId="0">
      <selection activeCell="H18" sqref="H18"/>
    </sheetView>
  </sheetViews>
  <sheetFormatPr defaultRowHeight="15" x14ac:dyDescent="0.25"/>
  <cols>
    <col min="3" max="4" width="23" customWidth="1"/>
    <col min="6" max="6" width="26.7109375" customWidth="1"/>
    <col min="26" max="26" width="27.7109375" bestFit="1" customWidth="1"/>
    <col min="29" max="29" width="15.28515625" customWidth="1"/>
  </cols>
  <sheetData>
    <row r="3" spans="3:30" x14ac:dyDescent="0.25">
      <c r="Z3" t="s">
        <v>23</v>
      </c>
    </row>
    <row r="4" spans="3:30" ht="15.75" thickBot="1" x14ac:dyDescent="0.3">
      <c r="Z4" t="s">
        <v>24</v>
      </c>
    </row>
    <row r="5" spans="3:30" ht="15.75" thickBot="1" x14ac:dyDescent="0.3">
      <c r="E5" s="15" t="s">
        <v>19</v>
      </c>
      <c r="F5" s="15" t="s">
        <v>20</v>
      </c>
    </row>
    <row r="6" spans="3:30" ht="15.75" thickBot="1" x14ac:dyDescent="0.3">
      <c r="C6" s="40" t="s">
        <v>18</v>
      </c>
      <c r="D6" s="41"/>
      <c r="E6" s="23">
        <f>AA6</f>
        <v>36</v>
      </c>
      <c r="F6" s="23" t="str">
        <f>AB6</f>
        <v>Meeting Targets</v>
      </c>
      <c r="AA6">
        <v>36</v>
      </c>
      <c r="AB6" t="s">
        <v>25</v>
      </c>
      <c r="AC6">
        <v>2</v>
      </c>
      <c r="AD6">
        <v>2</v>
      </c>
    </row>
    <row r="7" spans="3:30" ht="15.75" thickBot="1" x14ac:dyDescent="0.3">
      <c r="C7" s="40" t="s">
        <v>51</v>
      </c>
      <c r="D7" s="41"/>
      <c r="E7" s="23">
        <f t="shared" ref="E7:E12" si="0">AA7</f>
        <v>122</v>
      </c>
      <c r="F7" s="23" t="str">
        <f>AB7</f>
        <v>Meeting Targets</v>
      </c>
      <c r="AA7">
        <v>122</v>
      </c>
      <c r="AB7" t="s">
        <v>25</v>
      </c>
      <c r="AC7">
        <v>2</v>
      </c>
      <c r="AD7">
        <v>2</v>
      </c>
    </row>
    <row r="8" spans="3:30" ht="15.75" thickBot="1" x14ac:dyDescent="0.3">
      <c r="C8" s="40" t="s">
        <v>52</v>
      </c>
      <c r="D8" s="41"/>
      <c r="E8" s="23">
        <f t="shared" si="0"/>
        <v>61</v>
      </c>
      <c r="F8" s="23" t="str">
        <f>AB8</f>
        <v>Meeting Targets</v>
      </c>
      <c r="AA8">
        <v>61</v>
      </c>
      <c r="AB8" t="s">
        <v>25</v>
      </c>
      <c r="AC8">
        <v>2</v>
      </c>
    </row>
    <row r="9" spans="3:30" ht="15.75" thickBot="1" x14ac:dyDescent="0.3">
      <c r="C9" s="51" t="s">
        <v>53</v>
      </c>
      <c r="D9" s="49" t="s">
        <v>105</v>
      </c>
      <c r="E9" s="23">
        <f t="shared" si="0"/>
        <v>78.3</v>
      </c>
      <c r="F9" s="54" t="str">
        <f>AB9</f>
        <v>Not Meeting Targets</v>
      </c>
      <c r="AA9">
        <v>78.3</v>
      </c>
      <c r="AB9" t="s">
        <v>103</v>
      </c>
      <c r="AC9">
        <v>1</v>
      </c>
      <c r="AD9">
        <v>2</v>
      </c>
    </row>
    <row r="10" spans="3:30" ht="15.75" thickBot="1" x14ac:dyDescent="0.3">
      <c r="C10" s="52"/>
      <c r="D10" s="49" t="s">
        <v>106</v>
      </c>
      <c r="E10" s="23">
        <f t="shared" si="0"/>
        <v>78.900000000000006</v>
      </c>
      <c r="F10" s="55"/>
      <c r="AA10">
        <v>78.900000000000006</v>
      </c>
      <c r="AB10" t="s">
        <v>25</v>
      </c>
      <c r="AC10">
        <v>2</v>
      </c>
    </row>
    <row r="11" spans="3:30" ht="15.75" thickBot="1" x14ac:dyDescent="0.3">
      <c r="C11" s="53"/>
      <c r="D11" s="15" t="s">
        <v>107</v>
      </c>
      <c r="E11" s="57">
        <f t="shared" si="0"/>
        <v>79.5</v>
      </c>
      <c r="F11" s="56"/>
      <c r="AA11">
        <v>79.5</v>
      </c>
      <c r="AB11" t="s">
        <v>25</v>
      </c>
      <c r="AC11">
        <v>2</v>
      </c>
    </row>
    <row r="12" spans="3:30" x14ac:dyDescent="0.25">
      <c r="AA12" t="e">
        <v>#N/A</v>
      </c>
      <c r="AB12" t="s">
        <v>104</v>
      </c>
      <c r="AC12">
        <v>3</v>
      </c>
      <c r="AD12">
        <v>1</v>
      </c>
    </row>
    <row r="13" spans="3:30" ht="15.75" thickBot="1" x14ac:dyDescent="0.3">
      <c r="C13" s="33"/>
      <c r="D13" s="33"/>
      <c r="AA13" t="e">
        <v>#N/A</v>
      </c>
      <c r="AB13" t="s">
        <v>104</v>
      </c>
      <c r="AC13">
        <v>3</v>
      </c>
      <c r="AD13">
        <v>2</v>
      </c>
    </row>
    <row r="14" spans="3:30" ht="15.75" thickBot="1" x14ac:dyDescent="0.3">
      <c r="C14" s="33"/>
      <c r="D14" s="33"/>
      <c r="F14" s="15" t="s">
        <v>20</v>
      </c>
      <c r="AB14" t="e">
        <v>#N/A</v>
      </c>
      <c r="AC14" t="s">
        <v>25</v>
      </c>
      <c r="AD14">
        <v>2</v>
      </c>
    </row>
    <row r="15" spans="3:30" ht="15.75" thickBot="1" x14ac:dyDescent="0.3">
      <c r="C15" s="40" t="s">
        <v>97</v>
      </c>
      <c r="D15" s="50"/>
      <c r="E15" s="41"/>
      <c r="F15" s="23" t="str">
        <f>AB10</f>
        <v>Meeting Targets</v>
      </c>
      <c r="AB15" t="e">
        <v>#N/A</v>
      </c>
      <c r="AC15" t="s">
        <v>104</v>
      </c>
      <c r="AD15">
        <v>3</v>
      </c>
    </row>
    <row r="16" spans="3:30" ht="15.75" thickBot="1" x14ac:dyDescent="0.3">
      <c r="C16" s="40" t="s">
        <v>98</v>
      </c>
      <c r="D16" s="50"/>
      <c r="E16" s="41"/>
      <c r="F16" s="23" t="str">
        <f>AB11</f>
        <v>Meeting Targets</v>
      </c>
    </row>
    <row r="17" spans="3:6" x14ac:dyDescent="0.25">
      <c r="C17" s="33"/>
      <c r="D17" s="33"/>
    </row>
    <row r="18" spans="3:6" ht="15.75" thickBot="1" x14ac:dyDescent="0.3"/>
    <row r="19" spans="3:6" ht="15.75" thickBot="1" x14ac:dyDescent="0.3">
      <c r="E19" s="15" t="s">
        <v>21</v>
      </c>
      <c r="F19" s="17" t="str">
        <f>AB12</f>
        <v>Meeting Expectations</v>
      </c>
    </row>
    <row r="22" spans="3:6" x14ac:dyDescent="0.25">
      <c r="C22" t="s">
        <v>26</v>
      </c>
    </row>
    <row r="24" spans="3:6" ht="18.600000000000001" customHeight="1" x14ac:dyDescent="0.25">
      <c r="C24" s="24"/>
      <c r="D24" s="24"/>
    </row>
  </sheetData>
  <mergeCells count="7">
    <mergeCell ref="F9:F11"/>
    <mergeCell ref="C15:E15"/>
    <mergeCell ref="C16:E16"/>
    <mergeCell ref="C9:C11"/>
    <mergeCell ref="C7:D7"/>
    <mergeCell ref="C6:D6"/>
    <mergeCell ref="C8:D8"/>
  </mergeCells>
  <conditionalFormatting sqref="F1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expression" dxfId="3" priority="1">
      <formula>#REF!=4</formula>
    </cfRule>
    <cfRule type="expression" dxfId="2" priority="2">
      <formula>#REF!=3</formula>
    </cfRule>
    <cfRule type="expression" dxfId="1" priority="3">
      <formula>#REF!=2</formula>
    </cfRule>
    <cfRule type="expression" dxfId="0" priority="4">
      <formula>#REF!=1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GetState">
                <anchor moveWithCells="1">
                  <from>
                    <xdr:col>6</xdr:col>
                    <xdr:colOff>752475</xdr:colOff>
                    <xdr:row>4</xdr:row>
                    <xdr:rowOff>180975</xdr:rowOff>
                  </from>
                  <to>
                    <xdr:col>7</xdr:col>
                    <xdr:colOff>638175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indeces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2014-09-21T16:22:20Z</dcterms:modified>
</cp:coreProperties>
</file>
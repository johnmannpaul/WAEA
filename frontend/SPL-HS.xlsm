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28" yWindow="696" windowWidth="7416" windowHeight="2232" activeTab="2"/>
  </bookViews>
  <sheets>
    <sheet name="parameters" sheetId="19" r:id="rId1"/>
    <sheet name="readiness indeces" sheetId="21" r:id="rId2"/>
    <sheet name="matrix" sheetId="18" r:id="rId3"/>
    <sheet name="impact" sheetId="17" r:id="rId4"/>
    <sheet name="WY" sheetId="20" r:id="rId5"/>
  </sheets>
  <calcPr calcId="125725"/>
</workbook>
</file>

<file path=xl/calcChain.xml><?xml version="1.0" encoding="utf-8"?>
<calcChain xmlns="http://schemas.openxmlformats.org/spreadsheetml/2006/main">
  <c r="D13" i="17"/>
  <c r="E13"/>
  <c r="E12"/>
  <c r="AE9" i="21"/>
  <c r="AD9"/>
  <c r="AC9"/>
  <c r="AB9"/>
  <c r="AA9"/>
  <c r="AD8"/>
  <c r="AC8"/>
  <c r="AB8"/>
  <c r="AA8"/>
  <c r="AD7"/>
  <c r="AC7"/>
  <c r="AB7"/>
  <c r="AA7"/>
  <c r="AD6"/>
  <c r="AC6"/>
  <c r="AB6"/>
  <c r="AA6"/>
  <c r="AD5"/>
  <c r="AC5"/>
  <c r="AB5"/>
  <c r="AA5"/>
  <c r="D8" i="20"/>
  <c r="E7"/>
  <c r="E12"/>
  <c r="E8"/>
  <c r="E20" i="17" l="1"/>
  <c r="I10"/>
  <c r="J10"/>
  <c r="K10"/>
  <c r="L10"/>
  <c r="M10"/>
  <c r="D7" i="20"/>
  <c r="E6"/>
  <c r="D6"/>
  <c r="F21" i="17"/>
  <c r="E21"/>
  <c r="D21"/>
  <c r="F20"/>
  <c r="D20"/>
  <c r="F19"/>
  <c r="E19"/>
  <c r="D19"/>
  <c r="M9"/>
  <c r="N9" s="1"/>
  <c r="L9"/>
  <c r="K9"/>
  <c r="J9"/>
  <c r="I9"/>
  <c r="M8"/>
  <c r="N8" s="1"/>
  <c r="L8"/>
  <c r="K8"/>
  <c r="J8"/>
  <c r="I8"/>
  <c r="M7"/>
  <c r="N7" s="1"/>
  <c r="L7"/>
  <c r="K7"/>
  <c r="J7"/>
  <c r="I7"/>
  <c r="M6"/>
  <c r="N6" s="1"/>
  <c r="L6"/>
  <c r="K6"/>
  <c r="J6"/>
  <c r="I6"/>
  <c r="M5"/>
  <c r="N5" s="1"/>
  <c r="L5"/>
  <c r="K5"/>
  <c r="J5"/>
  <c r="I5"/>
  <c r="F13"/>
  <c r="F12"/>
  <c r="D12"/>
  <c r="F11"/>
  <c r="E11"/>
  <c r="D11"/>
  <c r="F10"/>
  <c r="E10"/>
  <c r="D10"/>
  <c r="F9"/>
  <c r="E9"/>
  <c r="D9"/>
  <c r="F8"/>
  <c r="E8"/>
  <c r="D8"/>
  <c r="F7"/>
  <c r="E7"/>
  <c r="D7"/>
  <c r="F6"/>
  <c r="E6"/>
  <c r="D6"/>
  <c r="F5"/>
  <c r="E5"/>
  <c r="D5"/>
  <c r="AC13" i="18"/>
  <c r="AB13"/>
  <c r="AA13"/>
  <c r="AC12"/>
  <c r="AB12"/>
  <c r="AA12"/>
  <c r="AC11"/>
  <c r="AB11"/>
  <c r="AA11"/>
  <c r="AC10"/>
  <c r="AB10"/>
  <c r="AA10"/>
  <c r="AC9"/>
  <c r="AB9"/>
  <c r="AA9"/>
  <c r="AC8"/>
  <c r="AB8"/>
  <c r="AA8"/>
  <c r="AC7"/>
  <c r="AB7"/>
  <c r="AA7"/>
  <c r="AC6"/>
  <c r="AB6"/>
  <c r="AA6"/>
  <c r="AC5"/>
  <c r="AB5"/>
  <c r="AA5"/>
  <c r="AC16"/>
  <c r="AB16"/>
  <c r="AA16"/>
  <c r="AC15"/>
  <c r="AB15"/>
  <c r="AA15"/>
  <c r="AC14"/>
  <c r="AB14"/>
  <c r="AA14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<sst xmlns="http://schemas.openxmlformats.org/spreadsheetml/2006/main" count="110" uniqueCount="76">
  <si>
    <t>Achievement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</si>
  <si>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</si>
  <si>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</si>
  <si>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</si>
  <si>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</si>
  <si>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</si>
  <si>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</si>
  <si>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</si>
  <si>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</si>
  <si>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Equity Below</t>
  </si>
  <si>
    <t>Equity Meeting</t>
  </si>
  <si>
    <t>Equity Exceeding</t>
  </si>
  <si>
    <t>3 indicators</t>
  </si>
  <si>
    <t>2 indicators</t>
  </si>
  <si>
    <t>all schools</t>
  </si>
  <si>
    <t>1 indicator</t>
  </si>
  <si>
    <t>0 indicators</t>
  </si>
  <si>
    <t>A1</t>
  </si>
  <si>
    <t>A2</t>
  </si>
  <si>
    <t>A3</t>
  </si>
  <si>
    <t>Low Cut</t>
  </si>
  <si>
    <t>High Cut</t>
  </si>
  <si>
    <t>Matrix values for sending to R.
Do not delete.</t>
  </si>
  <si>
    <t xml:space="preserve">Achievement </t>
  </si>
  <si>
    <t>Value</t>
  </si>
  <si>
    <t>Target Level</t>
  </si>
  <si>
    <t>SPL</t>
  </si>
  <si>
    <t>Matrix values for getting from R.
Do not delete.</t>
  </si>
  <si>
    <t>Matrix values for getting from R.</t>
  </si>
  <si>
    <t>Do not delete.</t>
  </si>
  <si>
    <t>Meeting Targets</t>
  </si>
  <si>
    <t>Meeting Expectations</t>
  </si>
  <si>
    <t>Readiness</t>
  </si>
  <si>
    <t>Readiness Below</t>
  </si>
  <si>
    <t>Readiness Meeting</t>
  </si>
  <si>
    <t>Readiness Exceeding</t>
  </si>
  <si>
    <t>ReadinessMeeting</t>
  </si>
  <si>
    <t>Indicators and Performance Level for State of Wyoming (High School)</t>
  </si>
  <si>
    <t>% of all</t>
  </si>
  <si>
    <t>Grad Index</t>
  </si>
  <si>
    <t>Total Readiness</t>
  </si>
  <si>
    <t>Equity*</t>
  </si>
  <si>
    <t>Explore Index</t>
  </si>
  <si>
    <t>ACT Index</t>
  </si>
  <si>
    <t>Plan  Index</t>
  </si>
  <si>
    <t>1-14</t>
  </si>
  <si>
    <t>15-17</t>
  </si>
  <si>
    <t>18-20</t>
  </si>
  <si>
    <t>21-25</t>
  </si>
  <si>
    <t>1-15</t>
  </si>
  <si>
    <t>16-18</t>
  </si>
  <si>
    <t>19-21</t>
  </si>
  <si>
    <t>22-32</t>
  </si>
  <si>
    <t>1-16</t>
  </si>
  <si>
    <t>21-24</t>
  </si>
  <si>
    <t>25-36</t>
  </si>
  <si>
    <t>Nongraduate</t>
  </si>
  <si>
    <t>Returning</t>
  </si>
  <si>
    <t>5 Year Graduate</t>
  </si>
  <si>
    <t>6 Year Graduate</t>
  </si>
  <si>
    <t>4 Year Graduate</t>
  </si>
  <si>
    <t>Alt Index</t>
  </si>
  <si>
    <t>0</t>
  </si>
  <si>
    <t>1</t>
  </si>
  <si>
    <t>2</t>
  </si>
  <si>
    <t>3</t>
  </si>
  <si>
    <t>Used for sending values to R</t>
  </si>
  <si>
    <t>b</t>
  </si>
  <si>
    <t>a</t>
  </si>
  <si>
    <t>c</t>
  </si>
  <si>
    <t>d</t>
  </si>
  <si>
    <t>e</t>
  </si>
  <si>
    <t>*The first value of the equity index is derived from the percent of non-proficient eleventh graders in the current year, and</t>
  </si>
  <si>
    <t>the second value is derived from the change in percents non-proficient from the prior year to the current year.</t>
  </si>
  <si>
    <t>ENROLLMENT</t>
  </si>
  <si>
    <t>sum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</si>
</sst>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12" xfId="0" applyFont="1" applyFill="1" applyBorder="1" applyAlignment="1">
      <alignment horizontal="center" wrapText="1"/>
    </xf>
    <xf numFmtId="0" fontId="1" fillId="0" borderId="6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0" fillId="4" borderId="13" xfId="0" applyFill="1" applyBorder="1"/>
    <xf numFmtId="0" fontId="0" fillId="2" borderId="13" xfId="0" applyFill="1" applyBorder="1"/>
    <xf numFmtId="0" fontId="0" fillId="3" borderId="13" xfId="0" applyFill="1" applyBorder="1"/>
    <xf numFmtId="0" fontId="0" fillId="5" borderId="13" xfId="0" applyFill="1" applyBorder="1"/>
    <xf numFmtId="0" fontId="0" fillId="0" borderId="8" xfId="0" applyBorder="1"/>
    <xf numFmtId="0" fontId="0" fillId="0" borderId="12" xfId="0" applyBorder="1"/>
    <xf numFmtId="0" fontId="0" fillId="6" borderId="13" xfId="0" applyFill="1" applyBorder="1"/>
    <xf numFmtId="0" fontId="1" fillId="0" borderId="15" xfId="0" applyFont="1" applyBorder="1" applyAlignment="1">
      <alignment horizontal="center"/>
    </xf>
    <xf numFmtId="10" fontId="0" fillId="4" borderId="13" xfId="0" applyNumberFormat="1" applyFill="1" applyBorder="1"/>
    <xf numFmtId="10" fontId="0" fillId="2" borderId="13" xfId="0" applyNumberFormat="1" applyFill="1" applyBorder="1"/>
    <xf numFmtId="10" fontId="0" fillId="3" borderId="13" xfId="0" applyNumberFormat="1" applyFill="1" applyBorder="1"/>
    <xf numFmtId="10" fontId="0" fillId="5" borderId="13" xfId="0" applyNumberFormat="1" applyFill="1" applyBorder="1"/>
    <xf numFmtId="10" fontId="0" fillId="6" borderId="13" xfId="0" applyNumberFormat="1" applyFill="1" applyBorder="1"/>
    <xf numFmtId="0" fontId="0" fillId="0" borderId="14" xfId="0" applyBorder="1" applyAlignment="1">
      <alignment horizontal="center"/>
    </xf>
    <xf numFmtId="0" fontId="0" fillId="0" borderId="0" xfId="0" applyAlignment="1"/>
    <xf numFmtId="49" fontId="0" fillId="0" borderId="12" xfId="0" applyNumberFormat="1" applyBorder="1"/>
    <xf numFmtId="0" fontId="0" fillId="7" borderId="14" xfId="0" applyFill="1" applyBorder="1"/>
    <xf numFmtId="0" fontId="1" fillId="0" borderId="0" xfId="0" applyFont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0" fillId="0" borderId="10" xfId="0" applyBorder="1" applyAlignment="1">
      <alignment wrapText="1"/>
    </xf>
  </cellXfs>
  <cellStyles count="1">
    <cellStyle name="Normal" xfId="0" builtinId="0"/>
  </cellStyles>
  <dxfs count="8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3:E6"/>
  <sheetViews>
    <sheetView zoomScale="130" zoomScaleNormal="130" workbookViewId="0">
      <selection activeCell="G15" sqref="G15"/>
    </sheetView>
  </sheetViews>
  <sheetFormatPr defaultRowHeight="14.4"/>
  <cols>
    <col min="1" max="1" width="13.21875" customWidth="1"/>
    <col min="2" max="2" width="18.21875" customWidth="1"/>
    <col min="3" max="3" width="12" bestFit="1" customWidth="1"/>
    <col min="4" max="4" width="7.6640625" bestFit="1" customWidth="1"/>
    <col min="5" max="5" width="8" bestFit="1" customWidth="1"/>
  </cols>
  <sheetData>
    <row r="3" spans="3:5" ht="15" thickBot="1"/>
    <row r="4" spans="3:5" ht="15" thickBot="1">
      <c r="D4" s="30" t="s">
        <v>20</v>
      </c>
      <c r="E4" s="30" t="s">
        <v>21</v>
      </c>
    </row>
    <row r="5" spans="3:5" ht="15" thickBot="1">
      <c r="C5" s="30" t="s">
        <v>0</v>
      </c>
      <c r="D5" s="25">
        <v>70</v>
      </c>
      <c r="E5" s="27">
        <v>83</v>
      </c>
    </row>
    <row r="6" spans="3:5" ht="15" thickBot="1">
      <c r="C6" s="29" t="s">
        <v>32</v>
      </c>
      <c r="D6" s="25">
        <v>68</v>
      </c>
      <c r="E6" s="27">
        <v>80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C3:AE18"/>
  <sheetViews>
    <sheetView topLeftCell="D3" zoomScale="130" zoomScaleNormal="130" workbookViewId="0">
      <selection activeCell="H5" sqref="H5"/>
    </sheetView>
  </sheetViews>
  <sheetFormatPr defaultColWidth="17" defaultRowHeight="14.4"/>
  <sheetData>
    <row r="3" spans="3:31" ht="15" thickBot="1">
      <c r="Z3" t="s">
        <v>66</v>
      </c>
    </row>
    <row r="4" spans="3:31" ht="15" thickBot="1">
      <c r="D4" s="40" t="s">
        <v>45</v>
      </c>
      <c r="E4" s="40" t="s">
        <v>46</v>
      </c>
      <c r="F4" s="40" t="s">
        <v>47</v>
      </c>
      <c r="G4" s="40" t="s">
        <v>48</v>
      </c>
      <c r="AA4" t="s">
        <v>68</v>
      </c>
      <c r="AB4" t="s">
        <v>67</v>
      </c>
      <c r="AC4" t="s">
        <v>69</v>
      </c>
      <c r="AD4" t="s">
        <v>70</v>
      </c>
      <c r="AE4" t="s">
        <v>71</v>
      </c>
    </row>
    <row r="5" spans="3:31" ht="15" thickBot="1">
      <c r="C5" s="30" t="s">
        <v>42</v>
      </c>
      <c r="D5" s="41">
        <v>20</v>
      </c>
      <c r="E5" s="41">
        <v>50</v>
      </c>
      <c r="F5" s="41">
        <v>80</v>
      </c>
      <c r="G5" s="41">
        <v>100</v>
      </c>
      <c r="AA5">
        <f>D5</f>
        <v>20</v>
      </c>
      <c r="AB5">
        <f t="shared" ref="AB5:AD5" si="0">E5</f>
        <v>50</v>
      </c>
      <c r="AC5">
        <f t="shared" si="0"/>
        <v>80</v>
      </c>
      <c r="AD5">
        <f t="shared" si="0"/>
        <v>100</v>
      </c>
    </row>
    <row r="6" spans="3:31" ht="15" thickBot="1">
      <c r="AA6">
        <f>D8</f>
        <v>20</v>
      </c>
      <c r="AB6">
        <f t="shared" ref="AB6:AD6" si="1">E8</f>
        <v>50</v>
      </c>
      <c r="AC6">
        <f t="shared" si="1"/>
        <v>80</v>
      </c>
      <c r="AD6">
        <f t="shared" si="1"/>
        <v>100</v>
      </c>
    </row>
    <row r="7" spans="3:31" ht="15" thickBot="1">
      <c r="D7" s="40" t="s">
        <v>49</v>
      </c>
      <c r="E7" s="40" t="s">
        <v>50</v>
      </c>
      <c r="F7" s="40" t="s">
        <v>51</v>
      </c>
      <c r="G7" s="40" t="s">
        <v>52</v>
      </c>
      <c r="AA7">
        <f>D11</f>
        <v>20</v>
      </c>
      <c r="AB7">
        <f t="shared" ref="AB7:AD7" si="2">E11</f>
        <v>50</v>
      </c>
      <c r="AC7">
        <f t="shared" si="2"/>
        <v>80</v>
      </c>
      <c r="AD7">
        <f t="shared" si="2"/>
        <v>100</v>
      </c>
    </row>
    <row r="8" spans="3:31" ht="15" thickBot="1">
      <c r="C8" s="30" t="s">
        <v>44</v>
      </c>
      <c r="D8" s="41">
        <v>20</v>
      </c>
      <c r="E8" s="41">
        <v>50</v>
      </c>
      <c r="F8" s="41">
        <v>80</v>
      </c>
      <c r="G8" s="41">
        <v>100</v>
      </c>
      <c r="AA8">
        <f>D14</f>
        <v>20</v>
      </c>
      <c r="AB8">
        <f t="shared" ref="AB8:AD8" si="3">E14</f>
        <v>50</v>
      </c>
      <c r="AC8">
        <f t="shared" si="3"/>
        <v>80</v>
      </c>
      <c r="AD8">
        <f t="shared" si="3"/>
        <v>100</v>
      </c>
    </row>
    <row r="9" spans="3:31" ht="15" thickBot="1">
      <c r="AA9">
        <f>D18</f>
        <v>0</v>
      </c>
      <c r="AB9">
        <f t="shared" ref="AB9:AE9" si="4">E18</f>
        <v>50</v>
      </c>
      <c r="AC9">
        <f t="shared" si="4"/>
        <v>100</v>
      </c>
      <c r="AD9">
        <f t="shared" si="4"/>
        <v>100</v>
      </c>
      <c r="AE9">
        <f t="shared" si="4"/>
        <v>100</v>
      </c>
    </row>
    <row r="10" spans="3:31" ht="15" thickBot="1">
      <c r="D10" s="40" t="s">
        <v>53</v>
      </c>
      <c r="E10" s="40"/>
      <c r="F10" s="40" t="s">
        <v>54</v>
      </c>
      <c r="G10" s="40" t="s">
        <v>55</v>
      </c>
    </row>
    <row r="11" spans="3:31" ht="15" thickBot="1">
      <c r="C11" s="30" t="s">
        <v>43</v>
      </c>
      <c r="D11" s="41">
        <v>20</v>
      </c>
      <c r="E11" s="41">
        <v>50</v>
      </c>
      <c r="F11" s="41">
        <v>80</v>
      </c>
      <c r="G11" s="41">
        <v>100</v>
      </c>
    </row>
    <row r="12" spans="3:31" ht="15" thickBot="1"/>
    <row r="13" spans="3:31" ht="15" thickBot="1">
      <c r="D13" s="40" t="s">
        <v>62</v>
      </c>
      <c r="E13" s="40" t="s">
        <v>63</v>
      </c>
      <c r="F13" s="40" t="s">
        <v>64</v>
      </c>
      <c r="G13" s="40" t="s">
        <v>65</v>
      </c>
    </row>
    <row r="14" spans="3:31" ht="15" thickBot="1">
      <c r="C14" s="30" t="s">
        <v>61</v>
      </c>
      <c r="D14" s="41">
        <v>20</v>
      </c>
      <c r="E14" s="41">
        <v>50</v>
      </c>
      <c r="F14" s="41">
        <v>80</v>
      </c>
      <c r="G14" s="41">
        <v>100</v>
      </c>
    </row>
    <row r="16" spans="3:31" ht="15" thickBot="1"/>
    <row r="17" spans="3:8" ht="15" thickBot="1">
      <c r="D17" s="40" t="s">
        <v>56</v>
      </c>
      <c r="E17" s="40" t="s">
        <v>57</v>
      </c>
      <c r="F17" s="40" t="s">
        <v>59</v>
      </c>
      <c r="G17" s="40" t="s">
        <v>58</v>
      </c>
      <c r="H17" s="40" t="s">
        <v>60</v>
      </c>
    </row>
    <row r="18" spans="3:8" ht="15" thickBot="1">
      <c r="C18" s="30" t="s">
        <v>39</v>
      </c>
      <c r="D18" s="41">
        <v>0</v>
      </c>
      <c r="E18" s="41">
        <v>50</v>
      </c>
      <c r="F18" s="41">
        <v>100</v>
      </c>
      <c r="G18" s="41">
        <v>100</v>
      </c>
      <c r="H18" s="41">
        <v>100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B2:AC21"/>
  <sheetViews>
    <sheetView tabSelected="1" topLeftCell="V8" zoomScale="110" zoomScaleNormal="110" workbookViewId="0">
      <selection activeCell="AA19" sqref="AA19"/>
    </sheetView>
  </sheetViews>
  <sheetFormatPr defaultColWidth="17.5546875" defaultRowHeight="14.4"/>
  <cols>
    <col min="3" max="3" width="18.88671875" customWidth="1"/>
  </cols>
  <sheetData>
    <row r="2" spans="2:29">
      <c r="B2" s="42"/>
      <c r="C2" s="42"/>
      <c r="D2" s="42"/>
      <c r="E2" s="42"/>
      <c r="F2" s="42"/>
    </row>
    <row r="3" spans="2:29" ht="15" thickBot="1">
      <c r="B3" s="1"/>
      <c r="C3" s="1"/>
      <c r="D3" s="1"/>
      <c r="E3" s="1"/>
      <c r="F3" s="1"/>
    </row>
    <row r="4" spans="2:29" ht="43.8" thickBot="1">
      <c r="B4" s="2"/>
      <c r="C4" s="2"/>
      <c r="D4" s="3" t="s">
        <v>6</v>
      </c>
      <c r="E4" s="3" t="s">
        <v>7</v>
      </c>
      <c r="F4" s="3" t="s">
        <v>8</v>
      </c>
      <c r="Y4" s="14" t="s">
        <v>22</v>
      </c>
      <c r="AA4" t="s">
        <v>17</v>
      </c>
      <c r="AB4" t="s">
        <v>18</v>
      </c>
      <c r="AC4" t="s">
        <v>19</v>
      </c>
    </row>
    <row r="5" spans="2:29">
      <c r="B5" s="4"/>
      <c r="C5" s="5" t="s">
        <v>33</v>
      </c>
      <c r="D5" s="6">
        <v>1</v>
      </c>
      <c r="E5" s="6">
        <v>2</v>
      </c>
      <c r="F5" s="6">
        <v>2</v>
      </c>
      <c r="AA5">
        <f>D5</f>
        <v>1</v>
      </c>
      <c r="AB5">
        <f t="shared" ref="AB5:AB13" si="0">E5</f>
        <v>2</v>
      </c>
      <c r="AC5">
        <f t="shared" ref="AC5:AC13" si="1">F5</f>
        <v>2</v>
      </c>
    </row>
    <row r="6" spans="2:29">
      <c r="B6" s="7" t="s">
        <v>9</v>
      </c>
      <c r="C6" s="8" t="s">
        <v>34</v>
      </c>
      <c r="D6" s="9">
        <v>2</v>
      </c>
      <c r="E6" s="9">
        <v>3</v>
      </c>
      <c r="F6" s="9">
        <v>3</v>
      </c>
      <c r="AA6">
        <f t="shared" ref="AA6:AA13" si="2">D6</f>
        <v>2</v>
      </c>
      <c r="AB6">
        <f t="shared" si="0"/>
        <v>3</v>
      </c>
      <c r="AC6">
        <f t="shared" si="1"/>
        <v>3</v>
      </c>
    </row>
    <row r="7" spans="2:29" ht="15" thickBot="1">
      <c r="B7" s="10"/>
      <c r="C7" s="11" t="s">
        <v>35</v>
      </c>
      <c r="D7" s="12">
        <v>2</v>
      </c>
      <c r="E7" s="12">
        <v>3</v>
      </c>
      <c r="F7" s="12">
        <v>3</v>
      </c>
      <c r="AA7">
        <f t="shared" si="2"/>
        <v>2</v>
      </c>
      <c r="AB7">
        <f t="shared" si="0"/>
        <v>3</v>
      </c>
      <c r="AC7">
        <f t="shared" si="1"/>
        <v>3</v>
      </c>
    </row>
    <row r="8" spans="2:29">
      <c r="B8" s="4"/>
      <c r="C8" s="5" t="s">
        <v>33</v>
      </c>
      <c r="D8" s="6">
        <v>2</v>
      </c>
      <c r="E8" s="6">
        <v>3</v>
      </c>
      <c r="F8" s="6">
        <v>3</v>
      </c>
      <c r="AA8">
        <f t="shared" si="2"/>
        <v>2</v>
      </c>
      <c r="AB8">
        <f t="shared" si="0"/>
        <v>3</v>
      </c>
      <c r="AC8">
        <f t="shared" si="1"/>
        <v>3</v>
      </c>
    </row>
    <row r="9" spans="2:29">
      <c r="B9" s="7" t="s">
        <v>10</v>
      </c>
      <c r="C9" s="8" t="s">
        <v>36</v>
      </c>
      <c r="D9" s="9">
        <v>2</v>
      </c>
      <c r="E9" s="16">
        <v>3</v>
      </c>
      <c r="F9" s="9">
        <v>3</v>
      </c>
      <c r="AA9">
        <f t="shared" si="2"/>
        <v>2</v>
      </c>
      <c r="AB9">
        <f t="shared" si="0"/>
        <v>3</v>
      </c>
      <c r="AC9">
        <f t="shared" si="1"/>
        <v>3</v>
      </c>
    </row>
    <row r="10" spans="2:29" ht="15" thickBot="1">
      <c r="B10" s="10"/>
      <c r="C10" s="11" t="s">
        <v>35</v>
      </c>
      <c r="D10" s="12">
        <v>2</v>
      </c>
      <c r="E10" s="12">
        <v>3</v>
      </c>
      <c r="F10" s="12">
        <v>4</v>
      </c>
      <c r="AA10">
        <f t="shared" si="2"/>
        <v>2</v>
      </c>
      <c r="AB10">
        <f t="shared" si="0"/>
        <v>3</v>
      </c>
      <c r="AC10">
        <f t="shared" si="1"/>
        <v>4</v>
      </c>
    </row>
    <row r="11" spans="2:29">
      <c r="B11" s="4"/>
      <c r="C11" s="5" t="s">
        <v>33</v>
      </c>
      <c r="D11" s="6">
        <v>2</v>
      </c>
      <c r="E11" s="6">
        <v>3</v>
      </c>
      <c r="F11" s="6">
        <v>3</v>
      </c>
      <c r="AA11">
        <f t="shared" si="2"/>
        <v>2</v>
      </c>
      <c r="AB11">
        <f t="shared" si="0"/>
        <v>3</v>
      </c>
      <c r="AC11">
        <f t="shared" si="1"/>
        <v>3</v>
      </c>
    </row>
    <row r="12" spans="2:29">
      <c r="B12" s="7" t="s">
        <v>11</v>
      </c>
      <c r="C12" s="8" t="s">
        <v>34</v>
      </c>
      <c r="D12" s="9">
        <v>2</v>
      </c>
      <c r="E12" s="9">
        <v>3</v>
      </c>
      <c r="F12" s="9">
        <v>4</v>
      </c>
      <c r="AA12">
        <f t="shared" si="2"/>
        <v>2</v>
      </c>
      <c r="AB12">
        <f t="shared" si="0"/>
        <v>3</v>
      </c>
      <c r="AC12">
        <f t="shared" si="1"/>
        <v>4</v>
      </c>
    </row>
    <row r="13" spans="2:29" ht="15" thickBot="1">
      <c r="B13" s="10"/>
      <c r="C13" s="11" t="s">
        <v>35</v>
      </c>
      <c r="D13" s="12">
        <v>2</v>
      </c>
      <c r="E13" s="12">
        <v>3</v>
      </c>
      <c r="F13" s="12">
        <v>4</v>
      </c>
      <c r="AA13">
        <f t="shared" si="2"/>
        <v>2</v>
      </c>
      <c r="AB13">
        <f t="shared" si="0"/>
        <v>3</v>
      </c>
      <c r="AC13">
        <f t="shared" si="1"/>
        <v>4</v>
      </c>
    </row>
    <row r="14" spans="2:29">
      <c r="B14" s="43"/>
      <c r="C14" s="44"/>
      <c r="D14" s="44"/>
      <c r="E14" s="44"/>
      <c r="F14" s="44"/>
      <c r="AA14">
        <f t="shared" ref="AA14:AC16" si="3">D19</f>
        <v>1</v>
      </c>
      <c r="AB14">
        <f t="shared" si="3"/>
        <v>2</v>
      </c>
      <c r="AC14">
        <f t="shared" si="3"/>
        <v>2</v>
      </c>
    </row>
    <row r="15" spans="2:29">
      <c r="AA15">
        <f t="shared" si="3"/>
        <v>2</v>
      </c>
      <c r="AB15">
        <f t="shared" si="3"/>
        <v>3</v>
      </c>
      <c r="AC15">
        <f t="shared" si="3"/>
        <v>3</v>
      </c>
    </row>
    <row r="16" spans="2:29">
      <c r="AA16">
        <f t="shared" si="3"/>
        <v>2</v>
      </c>
      <c r="AB16">
        <f t="shared" si="3"/>
        <v>3</v>
      </c>
      <c r="AC16">
        <f t="shared" si="3"/>
        <v>4</v>
      </c>
    </row>
    <row r="17" spans="3:27" ht="15" thickBot="1">
      <c r="C17" s="1"/>
      <c r="D17" s="1"/>
      <c r="E17" s="1"/>
      <c r="F17" s="1"/>
    </row>
    <row r="18" spans="3:27" ht="28.8" thickBot="1">
      <c r="C18" s="2"/>
      <c r="D18" s="3" t="s">
        <v>6</v>
      </c>
      <c r="E18" s="3" t="s">
        <v>7</v>
      </c>
      <c r="F18" s="3" t="s">
        <v>8</v>
      </c>
    </row>
    <row r="19" spans="3:27" ht="15" thickBot="1">
      <c r="C19" s="6" t="s">
        <v>33</v>
      </c>
      <c r="D19" s="6">
        <v>1</v>
      </c>
      <c r="E19" s="6">
        <v>2</v>
      </c>
      <c r="F19" s="6">
        <v>2</v>
      </c>
      <c r="Y19" t="s">
        <v>74</v>
      </c>
      <c r="Z19" t="s">
        <v>75</v>
      </c>
      <c r="AA19">
        <v>0</v>
      </c>
    </row>
    <row r="20" spans="3:27" ht="15" thickBot="1">
      <c r="C20" s="9" t="s">
        <v>34</v>
      </c>
      <c r="D20" s="6">
        <v>2</v>
      </c>
      <c r="E20" s="6">
        <v>3</v>
      </c>
      <c r="F20" s="6">
        <v>3</v>
      </c>
    </row>
    <row r="21" spans="3:27" ht="15" thickBot="1">
      <c r="C21" s="12" t="s">
        <v>35</v>
      </c>
      <c r="D21" s="6">
        <v>2</v>
      </c>
      <c r="E21" s="6">
        <v>3</v>
      </c>
      <c r="F21" s="6">
        <v>4</v>
      </c>
    </row>
  </sheetData>
  <mergeCells count="2">
    <mergeCell ref="B2:F2"/>
    <mergeCell ref="B14:F14"/>
  </mergeCells>
  <conditionalFormatting sqref="D19:F21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D5:F13 D19:F21">
    <cfRule type="expression" dxfId="3" priority="5">
      <formula>D5=4</formula>
    </cfRule>
    <cfRule type="expression" dxfId="2" priority="6">
      <formula>D5=3</formula>
    </cfRule>
    <cfRule type="expression" dxfId="1" priority="7">
      <formula>D5=2</formula>
    </cfRule>
    <cfRule type="expression" dxfId="0" priority="8">
      <formula>D5=1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B2:AK22"/>
  <sheetViews>
    <sheetView topLeftCell="G4" zoomScale="130" zoomScaleNormal="130" workbookViewId="0">
      <selection activeCell="AE24" sqref="AE24:AF24"/>
    </sheetView>
  </sheetViews>
  <sheetFormatPr defaultColWidth="16.109375" defaultRowHeight="14.4"/>
  <cols>
    <col min="3" max="3" width="18" customWidth="1"/>
    <col min="8" max="8" width="16.109375" style="14"/>
    <col min="9" max="9" width="10.5546875" customWidth="1"/>
    <col min="10" max="10" width="11.44140625" customWidth="1"/>
    <col min="11" max="11" width="10" customWidth="1"/>
    <col min="12" max="12" width="10.88671875" customWidth="1"/>
    <col min="13" max="13" width="9.88671875" customWidth="1"/>
    <col min="14" max="14" width="11" customWidth="1"/>
  </cols>
  <sheetData>
    <row r="2" spans="2:37">
      <c r="B2" s="42"/>
      <c r="C2" s="42"/>
      <c r="D2" s="42"/>
      <c r="E2" s="42"/>
      <c r="F2" s="42"/>
    </row>
    <row r="3" spans="2:37" ht="15" thickBot="1">
      <c r="B3" s="1"/>
      <c r="C3" s="1"/>
      <c r="D3" s="1"/>
      <c r="E3" s="1"/>
      <c r="F3" s="1"/>
    </row>
    <row r="4" spans="2:37" ht="43.8" thickBot="1">
      <c r="B4" s="2"/>
      <c r="C4" s="2"/>
      <c r="D4" s="3" t="s">
        <v>6</v>
      </c>
      <c r="E4" s="3" t="s">
        <v>7</v>
      </c>
      <c r="F4" s="3" t="s">
        <v>8</v>
      </c>
      <c r="H4" s="13"/>
      <c r="I4" s="15" t="s">
        <v>12</v>
      </c>
      <c r="J4" s="15" t="s">
        <v>13</v>
      </c>
      <c r="K4" s="15" t="s">
        <v>15</v>
      </c>
      <c r="L4" s="15" t="s">
        <v>16</v>
      </c>
      <c r="M4" s="15" t="s">
        <v>14</v>
      </c>
      <c r="N4" s="15" t="s">
        <v>38</v>
      </c>
      <c r="AF4" s="14" t="s">
        <v>27</v>
      </c>
    </row>
    <row r="5" spans="2:37" ht="15" thickBot="1">
      <c r="B5" s="4"/>
      <c r="C5" s="5" t="s">
        <v>33</v>
      </c>
      <c r="D5" s="20">
        <f>AG5</f>
        <v>1237</v>
      </c>
      <c r="E5" s="19">
        <f t="shared" ref="E5:E13" si="0">AH5</f>
        <v>0</v>
      </c>
      <c r="F5" s="19">
        <f t="shared" ref="F5:F13" si="1">AI5</f>
        <v>0</v>
      </c>
      <c r="H5" s="15" t="s">
        <v>5</v>
      </c>
      <c r="I5" s="25">
        <f>AG17</f>
        <v>2423</v>
      </c>
      <c r="J5" s="25">
        <f t="shared" ref="J5:M5" si="2">AH17</f>
        <v>890</v>
      </c>
      <c r="K5" s="25">
        <f t="shared" si="2"/>
        <v>0</v>
      </c>
      <c r="L5" s="25">
        <f t="shared" si="2"/>
        <v>0</v>
      </c>
      <c r="M5" s="25">
        <f t="shared" si="2"/>
        <v>3313</v>
      </c>
      <c r="N5" s="33">
        <f>M5/$AK$22</f>
        <v>0.12512746912414549</v>
      </c>
      <c r="AG5">
        <v>1237</v>
      </c>
      <c r="AH5">
        <v>0</v>
      </c>
      <c r="AI5">
        <v>0</v>
      </c>
      <c r="AJ5" t="e">
        <v>#N/A</v>
      </c>
      <c r="AK5" t="e">
        <v>#N/A</v>
      </c>
    </row>
    <row r="6" spans="2:37" ht="15" thickBot="1">
      <c r="B6" s="7" t="s">
        <v>9</v>
      </c>
      <c r="C6" s="8" t="s">
        <v>34</v>
      </c>
      <c r="D6" s="19">
        <f t="shared" ref="D6:D12" si="3">AG6</f>
        <v>525</v>
      </c>
      <c r="E6" s="18">
        <f t="shared" si="0"/>
        <v>2998</v>
      </c>
      <c r="F6" s="18">
        <f t="shared" si="1"/>
        <v>581</v>
      </c>
      <c r="H6" s="15" t="s">
        <v>4</v>
      </c>
      <c r="I6" s="26">
        <f t="shared" ref="I6:M6" si="4">AG18</f>
        <v>7873</v>
      </c>
      <c r="J6" s="26">
        <f t="shared" si="4"/>
        <v>406</v>
      </c>
      <c r="K6" s="26">
        <f t="shared" si="4"/>
        <v>0</v>
      </c>
      <c r="L6" s="26">
        <f t="shared" si="4"/>
        <v>0</v>
      </c>
      <c r="M6" s="26">
        <f t="shared" si="4"/>
        <v>8279</v>
      </c>
      <c r="N6" s="34">
        <f t="shared" ref="N6:N9" si="5">M6/$AK$22</f>
        <v>0.31268648260754617</v>
      </c>
      <c r="AG6">
        <v>525</v>
      </c>
      <c r="AH6">
        <v>2998</v>
      </c>
      <c r="AI6">
        <v>581</v>
      </c>
      <c r="AJ6" t="e">
        <v>#N/A</v>
      </c>
      <c r="AK6" t="e">
        <v>#N/A</v>
      </c>
    </row>
    <row r="7" spans="2:37" ht="15" thickBot="1">
      <c r="B7" s="10"/>
      <c r="C7" s="11" t="s">
        <v>35</v>
      </c>
      <c r="D7" s="19">
        <f t="shared" si="3"/>
        <v>0</v>
      </c>
      <c r="E7" s="18">
        <f t="shared" si="0"/>
        <v>316</v>
      </c>
      <c r="F7" s="18">
        <f t="shared" si="1"/>
        <v>135</v>
      </c>
      <c r="H7" s="15" t="s">
        <v>3</v>
      </c>
      <c r="I7" s="27">
        <f t="shared" ref="I7:M7" si="6">AG19</f>
        <v>11767</v>
      </c>
      <c r="J7" s="27">
        <f t="shared" si="6"/>
        <v>344</v>
      </c>
      <c r="K7" s="27">
        <f t="shared" si="6"/>
        <v>0</v>
      </c>
      <c r="L7" s="27">
        <f t="shared" si="6"/>
        <v>0</v>
      </c>
      <c r="M7" s="27">
        <f t="shared" si="6"/>
        <v>12111</v>
      </c>
      <c r="N7" s="35">
        <f t="shared" si="5"/>
        <v>0.45741587037806397</v>
      </c>
      <c r="AG7">
        <v>0</v>
      </c>
      <c r="AH7">
        <v>316</v>
      </c>
      <c r="AI7">
        <v>135</v>
      </c>
      <c r="AJ7" t="e">
        <v>#N/A</v>
      </c>
      <c r="AK7" t="e">
        <v>#N/A</v>
      </c>
    </row>
    <row r="8" spans="2:37" ht="15" thickBot="1">
      <c r="B8" s="4"/>
      <c r="C8" s="5" t="s">
        <v>33</v>
      </c>
      <c r="D8" s="19">
        <f t="shared" si="3"/>
        <v>1571</v>
      </c>
      <c r="E8" s="18">
        <f t="shared" si="0"/>
        <v>0</v>
      </c>
      <c r="F8" s="18">
        <f t="shared" si="1"/>
        <v>0</v>
      </c>
      <c r="H8" s="15" t="s">
        <v>2</v>
      </c>
      <c r="I8" s="28">
        <f t="shared" ref="I8:M8" si="7">AG20</f>
        <v>2531</v>
      </c>
      <c r="J8" s="28">
        <f t="shared" si="7"/>
        <v>109</v>
      </c>
      <c r="K8" s="28">
        <f t="shared" si="7"/>
        <v>0</v>
      </c>
      <c r="L8" s="28">
        <f t="shared" si="7"/>
        <v>0</v>
      </c>
      <c r="M8" s="28">
        <f t="shared" si="7"/>
        <v>2640</v>
      </c>
      <c r="N8" s="36">
        <f t="shared" si="5"/>
        <v>9.9709181553801415E-2</v>
      </c>
      <c r="AG8">
        <v>1571</v>
      </c>
      <c r="AH8">
        <v>0</v>
      </c>
      <c r="AI8">
        <v>0</v>
      </c>
      <c r="AJ8" t="e">
        <v>#N/A</v>
      </c>
      <c r="AK8" t="e">
        <v>#N/A</v>
      </c>
    </row>
    <row r="9" spans="2:37" ht="15" thickBot="1">
      <c r="B9" s="7" t="s">
        <v>10</v>
      </c>
      <c r="C9" s="8" t="s">
        <v>34</v>
      </c>
      <c r="D9" s="19">
        <f t="shared" si="3"/>
        <v>4099</v>
      </c>
      <c r="E9" s="18">
        <f t="shared" si="0"/>
        <v>3355</v>
      </c>
      <c r="F9" s="18">
        <f t="shared" si="1"/>
        <v>148</v>
      </c>
      <c r="H9" s="15" t="s">
        <v>1</v>
      </c>
      <c r="I9" s="31">
        <f t="shared" ref="I9:M10" si="8">AG21</f>
        <v>0</v>
      </c>
      <c r="J9" s="31">
        <f t="shared" si="8"/>
        <v>0</v>
      </c>
      <c r="K9" s="31">
        <f t="shared" si="8"/>
        <v>106</v>
      </c>
      <c r="L9" s="31">
        <f t="shared" si="8"/>
        <v>28</v>
      </c>
      <c r="M9" s="31">
        <f t="shared" si="8"/>
        <v>134</v>
      </c>
      <c r="N9" s="37">
        <f t="shared" si="5"/>
        <v>5.0609963364429507E-3</v>
      </c>
      <c r="AG9">
        <v>4099</v>
      </c>
      <c r="AH9">
        <v>3355</v>
      </c>
      <c r="AI9">
        <v>148</v>
      </c>
      <c r="AJ9" t="e">
        <v>#N/A</v>
      </c>
      <c r="AK9" t="e">
        <v>#N/A</v>
      </c>
    </row>
    <row r="10" spans="2:37" ht="15" thickBot="1">
      <c r="B10" s="10"/>
      <c r="C10" s="11" t="s">
        <v>35</v>
      </c>
      <c r="D10" s="19">
        <f t="shared" si="3"/>
        <v>0</v>
      </c>
      <c r="E10" s="18">
        <f t="shared" si="0"/>
        <v>900</v>
      </c>
      <c r="F10" s="17">
        <f t="shared" si="1"/>
        <v>909</v>
      </c>
      <c r="I10">
        <f t="shared" si="8"/>
        <v>24594</v>
      </c>
      <c r="J10">
        <f t="shared" si="8"/>
        <v>1749</v>
      </c>
      <c r="K10">
        <f t="shared" si="8"/>
        <v>106</v>
      </c>
      <c r="L10">
        <f t="shared" si="8"/>
        <v>28</v>
      </c>
      <c r="M10">
        <f t="shared" si="8"/>
        <v>26477</v>
      </c>
      <c r="AG10">
        <v>0</v>
      </c>
      <c r="AH10">
        <v>900</v>
      </c>
      <c r="AI10">
        <v>909</v>
      </c>
      <c r="AJ10" t="e">
        <v>#N/A</v>
      </c>
      <c r="AK10" t="e">
        <v>#N/A</v>
      </c>
    </row>
    <row r="11" spans="2:37" ht="15" thickBot="1">
      <c r="B11" s="4"/>
      <c r="C11" s="5" t="s">
        <v>33</v>
      </c>
      <c r="D11" s="19">
        <f t="shared" si="3"/>
        <v>344</v>
      </c>
      <c r="E11" s="18">
        <f t="shared" si="0"/>
        <v>2403</v>
      </c>
      <c r="F11" s="18">
        <f t="shared" si="1"/>
        <v>0</v>
      </c>
      <c r="AG11">
        <v>344</v>
      </c>
      <c r="AH11">
        <v>2403</v>
      </c>
      <c r="AI11">
        <v>0</v>
      </c>
      <c r="AJ11" t="e">
        <v>#N/A</v>
      </c>
      <c r="AK11" t="e">
        <v>#N/A</v>
      </c>
    </row>
    <row r="12" spans="2:37" ht="15" thickBot="1">
      <c r="B12" s="7" t="s">
        <v>11</v>
      </c>
      <c r="C12" s="8" t="s">
        <v>34</v>
      </c>
      <c r="D12" s="19">
        <f t="shared" si="3"/>
        <v>250</v>
      </c>
      <c r="E12" s="18">
        <f t="shared" si="0"/>
        <v>3045</v>
      </c>
      <c r="F12" s="17">
        <f t="shared" si="1"/>
        <v>1324</v>
      </c>
      <c r="AG12">
        <v>250</v>
      </c>
      <c r="AH12">
        <v>3045</v>
      </c>
      <c r="AI12">
        <v>1324</v>
      </c>
      <c r="AJ12" t="e">
        <v>#N/A</v>
      </c>
      <c r="AK12" t="e">
        <v>#N/A</v>
      </c>
    </row>
    <row r="13" spans="2:37" ht="15" thickBot="1">
      <c r="B13" s="10"/>
      <c r="C13" s="11" t="s">
        <v>35</v>
      </c>
      <c r="D13" s="19">
        <f>AG13</f>
        <v>0</v>
      </c>
      <c r="E13" s="18">
        <f t="shared" si="0"/>
        <v>156</v>
      </c>
      <c r="F13" s="17">
        <f t="shared" si="1"/>
        <v>298</v>
      </c>
      <c r="AG13">
        <v>0</v>
      </c>
      <c r="AH13">
        <v>156</v>
      </c>
      <c r="AI13">
        <v>298</v>
      </c>
      <c r="AJ13" t="e">
        <v>#N/A</v>
      </c>
      <c r="AK13" t="e">
        <v>#N/A</v>
      </c>
    </row>
    <row r="14" spans="2:37">
      <c r="B14" s="43"/>
      <c r="C14" s="44"/>
      <c r="D14" s="44"/>
      <c r="E14" s="44"/>
      <c r="F14" s="44"/>
      <c r="AG14">
        <v>638</v>
      </c>
      <c r="AH14">
        <v>53</v>
      </c>
      <c r="AI14">
        <v>42</v>
      </c>
      <c r="AJ14" t="e">
        <v>#N/A</v>
      </c>
      <c r="AK14" t="e">
        <v>#N/A</v>
      </c>
    </row>
    <row r="15" spans="2:37">
      <c r="AG15">
        <v>399</v>
      </c>
      <c r="AH15">
        <v>216</v>
      </c>
      <c r="AI15">
        <v>0</v>
      </c>
      <c r="AJ15" t="e">
        <v>#N/A</v>
      </c>
      <c r="AK15" t="e">
        <v>#N/A</v>
      </c>
    </row>
    <row r="16" spans="2:37">
      <c r="AG16">
        <v>47</v>
      </c>
      <c r="AH16">
        <v>245</v>
      </c>
      <c r="AI16">
        <v>109</v>
      </c>
      <c r="AJ16" t="e">
        <v>#N/A</v>
      </c>
      <c r="AK16" t="e">
        <v>#N/A</v>
      </c>
    </row>
    <row r="17" spans="3:37" ht="15" thickBot="1">
      <c r="C17" s="1"/>
      <c r="D17" s="1"/>
      <c r="E17" s="1"/>
      <c r="F17" s="1"/>
      <c r="AG17">
        <v>2423</v>
      </c>
      <c r="AH17">
        <v>890</v>
      </c>
      <c r="AI17">
        <v>0</v>
      </c>
      <c r="AJ17">
        <v>0</v>
      </c>
      <c r="AK17">
        <v>3313</v>
      </c>
    </row>
    <row r="18" spans="3:37" ht="28.8" thickBot="1">
      <c r="C18" s="2"/>
      <c r="D18" s="3" t="s">
        <v>6</v>
      </c>
      <c r="E18" s="3" t="s">
        <v>7</v>
      </c>
      <c r="F18" s="3" t="s">
        <v>8</v>
      </c>
      <c r="AG18">
        <v>7873</v>
      </c>
      <c r="AH18">
        <v>406</v>
      </c>
      <c r="AI18">
        <v>0</v>
      </c>
      <c r="AJ18">
        <v>0</v>
      </c>
      <c r="AK18">
        <v>8279</v>
      </c>
    </row>
    <row r="19" spans="3:37" ht="15" thickBot="1">
      <c r="C19" s="6" t="s">
        <v>33</v>
      </c>
      <c r="D19" s="21">
        <f>AG14</f>
        <v>638</v>
      </c>
      <c r="E19" s="22">
        <f t="shared" ref="E19:F19" si="9">AH14</f>
        <v>53</v>
      </c>
      <c r="F19" s="22">
        <f t="shared" si="9"/>
        <v>42</v>
      </c>
      <c r="AG19">
        <v>11767</v>
      </c>
      <c r="AH19">
        <v>344</v>
      </c>
      <c r="AI19">
        <v>0</v>
      </c>
      <c r="AJ19">
        <v>0</v>
      </c>
      <c r="AK19">
        <v>12111</v>
      </c>
    </row>
    <row r="20" spans="3:37" ht="15" thickBot="1">
      <c r="C20" s="9" t="s">
        <v>34</v>
      </c>
      <c r="D20" s="22">
        <f t="shared" ref="D20:F20" si="10">AG15</f>
        <v>399</v>
      </c>
      <c r="E20" s="23">
        <f>AH15</f>
        <v>216</v>
      </c>
      <c r="F20" s="23">
        <f t="shared" si="10"/>
        <v>0</v>
      </c>
      <c r="AG20">
        <v>2531</v>
      </c>
      <c r="AH20">
        <v>109</v>
      </c>
      <c r="AI20">
        <v>0</v>
      </c>
      <c r="AJ20">
        <v>0</v>
      </c>
      <c r="AK20">
        <v>2640</v>
      </c>
    </row>
    <row r="21" spans="3:37" ht="15" thickBot="1">
      <c r="C21" s="12" t="s">
        <v>35</v>
      </c>
      <c r="D21" s="22">
        <f t="shared" ref="D21:F21" si="11">AG16</f>
        <v>47</v>
      </c>
      <c r="E21" s="23">
        <f t="shared" si="11"/>
        <v>245</v>
      </c>
      <c r="F21" s="24">
        <f t="shared" si="11"/>
        <v>109</v>
      </c>
      <c r="AG21">
        <v>0</v>
      </c>
      <c r="AH21">
        <v>0</v>
      </c>
      <c r="AI21">
        <v>106</v>
      </c>
      <c r="AJ21">
        <v>28</v>
      </c>
      <c r="AK21">
        <v>134</v>
      </c>
    </row>
    <row r="22" spans="3:37">
      <c r="AG22">
        <v>24594</v>
      </c>
      <c r="AH22">
        <v>1749</v>
      </c>
      <c r="AI22">
        <v>106</v>
      </c>
      <c r="AJ22">
        <v>28</v>
      </c>
      <c r="AK22">
        <v>26477</v>
      </c>
    </row>
  </sheetData>
  <mergeCells count="2">
    <mergeCell ref="B2:F2"/>
    <mergeCell ref="B14:F1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C3:AC18"/>
  <sheetViews>
    <sheetView zoomScale="130" zoomScaleNormal="130" workbookViewId="0">
      <selection activeCell="C17" sqref="C17"/>
    </sheetView>
  </sheetViews>
  <sheetFormatPr defaultRowHeight="14.4"/>
  <cols>
    <col min="3" max="3" width="23" customWidth="1"/>
    <col min="5" max="5" width="26.77734375" customWidth="1"/>
    <col min="25" max="25" width="27.77734375" bestFit="1" customWidth="1"/>
    <col min="28" max="28" width="15.21875" customWidth="1"/>
  </cols>
  <sheetData>
    <row r="3" spans="3:29">
      <c r="Y3" t="s">
        <v>28</v>
      </c>
    </row>
    <row r="4" spans="3:29" ht="15" thickBot="1">
      <c r="Y4" t="s">
        <v>29</v>
      </c>
    </row>
    <row r="5" spans="3:29" ht="15" thickBot="1">
      <c r="D5" s="30" t="s">
        <v>24</v>
      </c>
      <c r="E5" s="30" t="s">
        <v>25</v>
      </c>
    </row>
    <row r="6" spans="3:29" ht="15" thickBot="1">
      <c r="C6" s="30" t="s">
        <v>23</v>
      </c>
      <c r="D6" s="38">
        <f t="shared" ref="D6:D7" si="0">AA6</f>
        <v>72.400000000000006</v>
      </c>
      <c r="E6" s="38" t="str">
        <f t="shared" ref="E6" si="1">AB6</f>
        <v>Meeting Targets</v>
      </c>
      <c r="AA6">
        <v>72.400000000000006</v>
      </c>
      <c r="AB6" t="s">
        <v>30</v>
      </c>
      <c r="AC6">
        <v>2</v>
      </c>
    </row>
    <row r="7" spans="3:29" ht="15" thickBot="1">
      <c r="C7" s="30" t="s">
        <v>40</v>
      </c>
      <c r="D7" s="38">
        <f t="shared" si="0"/>
        <v>70.7</v>
      </c>
      <c r="E7" s="38" t="str">
        <f>AB7</f>
        <v>Meeting Targets</v>
      </c>
      <c r="AA7">
        <v>70.7</v>
      </c>
      <c r="AB7" t="s">
        <v>30</v>
      </c>
      <c r="AC7">
        <v>2</v>
      </c>
    </row>
    <row r="8" spans="3:29" ht="15" thickBot="1">
      <c r="C8" s="30" t="s">
        <v>41</v>
      </c>
      <c r="D8" s="38" t="str">
        <f>CONCATENATE(AA8,":", AA9)</f>
        <v>2:2</v>
      </c>
      <c r="E8" s="38" t="str">
        <f>AB9</f>
        <v>Meeting Targets</v>
      </c>
      <c r="AA8">
        <v>2</v>
      </c>
      <c r="AB8" t="e">
        <v>#N/A</v>
      </c>
      <c r="AC8" t="e">
        <v>#N/A</v>
      </c>
    </row>
    <row r="9" spans="3:29">
      <c r="AA9">
        <v>2</v>
      </c>
      <c r="AB9" t="s">
        <v>30</v>
      </c>
      <c r="AC9">
        <v>2</v>
      </c>
    </row>
    <row r="10" spans="3:29">
      <c r="AA10" t="e">
        <v>#N/A</v>
      </c>
      <c r="AB10" t="s">
        <v>31</v>
      </c>
      <c r="AC10">
        <v>3</v>
      </c>
    </row>
    <row r="11" spans="3:29" ht="15" thickBot="1"/>
    <row r="12" spans="3:29" ht="15" thickBot="1">
      <c r="D12" s="30" t="s">
        <v>26</v>
      </c>
      <c r="E12" s="32" t="str">
        <f>AB10</f>
        <v>Meeting Expectations</v>
      </c>
    </row>
    <row r="15" spans="3:29">
      <c r="C15" t="s">
        <v>37</v>
      </c>
    </row>
    <row r="17" spans="3:3" ht="18.600000000000001" customHeight="1">
      <c r="C17" s="39" t="s">
        <v>72</v>
      </c>
    </row>
    <row r="18" spans="3:3">
      <c r="C18" t="s">
        <v>73</v>
      </c>
    </row>
  </sheetData>
  <conditionalFormatting sqref="E12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2">
    <cfRule type="expression" dxfId="7" priority="1">
      <formula>AC10=4</formula>
    </cfRule>
    <cfRule type="expression" dxfId="6" priority="2">
      <formula>AC10=3</formula>
    </cfRule>
    <cfRule type="expression" dxfId="5" priority="3">
      <formula>AC10=2</formula>
    </cfRule>
    <cfRule type="expression" dxfId="4" priority="4">
      <formula>AC10=1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readiness indeces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jpaul</cp:lastModifiedBy>
  <cp:lastPrinted>2012-12-04T17:44:20Z</cp:lastPrinted>
  <dcterms:created xsi:type="dcterms:W3CDTF">2012-08-28T17:19:31Z</dcterms:created>
  <dcterms:modified xsi:type="dcterms:W3CDTF">2013-11-13T20:36:46Z</dcterms:modified>
</cp:coreProperties>
</file>